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ZR\Desktop\capstone project\part 3\"/>
    </mc:Choice>
  </mc:AlternateContent>
  <xr:revisionPtr revIDLastSave="0" documentId="13_ncr:1_{3DF12059-C99A-486C-A0E0-8EAEDE9FA755}" xr6:coauthVersionLast="47" xr6:coauthVersionMax="47" xr10:uidLastSave="{00000000-0000-0000-0000-000000000000}"/>
  <bookViews>
    <workbookView xWindow="19095" yWindow="0" windowWidth="19410" windowHeight="21705" firstSheet="2" activeTab="3" xr2:uid="{00000000-000D-0000-FFFF-FFFF00000000}"/>
  </bookViews>
  <sheets>
    <sheet name="store_performance" sheetId="1" r:id="rId1"/>
    <sheet name="Cleaned Data Sheet" sheetId="3" r:id="rId2"/>
    <sheet name="Dummy variable creation sheet" sheetId="4" r:id="rId3"/>
    <sheet name="Simple regression outputs" sheetId="5" r:id="rId4"/>
    <sheet name="Multiple regression outputs" sheetId="6" r:id="rId5"/>
    <sheet name="Prediction and residual sheet" sheetId="7" r:id="rId6"/>
    <sheet name="Model comparison sheet" sheetId="8" r:id="rId7"/>
    <sheet name="data_dictionary" sheetId="2" r:id="rId8"/>
  </sheets>
  <definedNames>
    <definedName name="_xlnm._FilterDatabase" localSheetId="1" hidden="1">'Cleaned Data Sheet'!$A$1:$P$307</definedName>
    <definedName name="_xlnm._FilterDatabase" localSheetId="5" hidden="1">'Prediction and residual sheet'!$A$1:$K$1</definedName>
    <definedName name="_xlnm._FilterDatabase" localSheetId="0" hidden="1">store_performance!$A$1:$N$321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E274" i="7"/>
  <c r="D274" i="7"/>
  <c r="C274" i="7"/>
  <c r="E216" i="7"/>
  <c r="D216" i="7"/>
  <c r="C216" i="7"/>
  <c r="E155" i="7"/>
  <c r="D155" i="7"/>
  <c r="C155" i="7"/>
  <c r="E284" i="7"/>
  <c r="D284" i="7"/>
  <c r="C284" i="7"/>
  <c r="J284" i="7" s="1"/>
  <c r="K284" i="7" s="1"/>
  <c r="E100" i="7"/>
  <c r="D100" i="7"/>
  <c r="C100" i="7"/>
  <c r="E104" i="7"/>
  <c r="D104" i="7"/>
  <c r="C104" i="7"/>
  <c r="E108" i="7"/>
  <c r="D108" i="7"/>
  <c r="C108" i="7"/>
  <c r="E196" i="7"/>
  <c r="D196" i="7"/>
  <c r="C196" i="7"/>
  <c r="E258" i="7"/>
  <c r="D258" i="7"/>
  <c r="C258" i="7"/>
  <c r="E202" i="7"/>
  <c r="D202" i="7"/>
  <c r="C202" i="7"/>
  <c r="E280" i="7"/>
  <c r="D280" i="7"/>
  <c r="C280" i="7"/>
  <c r="E63" i="7"/>
  <c r="D63" i="7"/>
  <c r="C63" i="7"/>
  <c r="J63" i="7" s="1"/>
  <c r="K63" i="7" s="1"/>
  <c r="E302" i="7"/>
  <c r="D302" i="7"/>
  <c r="C302" i="7"/>
  <c r="E72" i="7"/>
  <c r="D72" i="7"/>
  <c r="C72" i="7"/>
  <c r="E33" i="7"/>
  <c r="D33" i="7"/>
  <c r="C33" i="7"/>
  <c r="E162" i="7"/>
  <c r="D162" i="7"/>
  <c r="C162" i="7"/>
  <c r="E160" i="7"/>
  <c r="D160" i="7"/>
  <c r="C160" i="7"/>
  <c r="E213" i="7"/>
  <c r="D213" i="7"/>
  <c r="C213" i="7"/>
  <c r="E289" i="7"/>
  <c r="D289" i="7"/>
  <c r="C289" i="7"/>
  <c r="E235" i="7"/>
  <c r="D235" i="7"/>
  <c r="C235" i="7"/>
  <c r="E11" i="7"/>
  <c r="D11" i="7"/>
  <c r="C11" i="7"/>
  <c r="E161" i="7"/>
  <c r="D161" i="7"/>
  <c r="C161" i="7"/>
  <c r="E91" i="7"/>
  <c r="D91" i="7"/>
  <c r="C91" i="7"/>
  <c r="E138" i="7"/>
  <c r="D138" i="7"/>
  <c r="C138" i="7"/>
  <c r="E113" i="7"/>
  <c r="D113" i="7"/>
  <c r="C113" i="7"/>
  <c r="E245" i="7"/>
  <c r="D245" i="7"/>
  <c r="C245" i="7"/>
  <c r="E215" i="7"/>
  <c r="D215" i="7"/>
  <c r="C215" i="7"/>
  <c r="E9" i="7"/>
  <c r="D9" i="7"/>
  <c r="C9" i="7"/>
  <c r="E262" i="7"/>
  <c r="D262" i="7"/>
  <c r="C262" i="7"/>
  <c r="E131" i="7"/>
  <c r="D131" i="7"/>
  <c r="C131" i="7"/>
  <c r="E211" i="7"/>
  <c r="D211" i="7"/>
  <c r="C211" i="7"/>
  <c r="E144" i="7"/>
  <c r="D144" i="7"/>
  <c r="C144" i="7"/>
  <c r="J144" i="7" s="1"/>
  <c r="K144" i="7" s="1"/>
  <c r="E170" i="7"/>
  <c r="D170" i="7"/>
  <c r="C170" i="7"/>
  <c r="E186" i="7"/>
  <c r="D186" i="7"/>
  <c r="C186" i="7"/>
  <c r="E154" i="7"/>
  <c r="D154" i="7"/>
  <c r="C154" i="7"/>
  <c r="E81" i="7"/>
  <c r="D81" i="7"/>
  <c r="C81" i="7"/>
  <c r="E236" i="7"/>
  <c r="D236" i="7"/>
  <c r="C236" i="7"/>
  <c r="E263" i="7"/>
  <c r="D263" i="7"/>
  <c r="C263" i="7"/>
  <c r="E225" i="7"/>
  <c r="D225" i="7"/>
  <c r="C225" i="7"/>
  <c r="E173" i="7"/>
  <c r="D173" i="7"/>
  <c r="C173" i="7"/>
  <c r="E80" i="7"/>
  <c r="D80" i="7"/>
  <c r="C80" i="7"/>
  <c r="E293" i="7"/>
  <c r="D293" i="7"/>
  <c r="C293" i="7"/>
  <c r="E17" i="7"/>
  <c r="D17" i="7"/>
  <c r="C17" i="7"/>
  <c r="E195" i="7"/>
  <c r="D195" i="7"/>
  <c r="C195" i="7"/>
  <c r="E69" i="7"/>
  <c r="D69" i="7"/>
  <c r="C69" i="7"/>
  <c r="E128" i="7"/>
  <c r="D128" i="7"/>
  <c r="C128" i="7"/>
  <c r="E294" i="7"/>
  <c r="D294" i="7"/>
  <c r="C294" i="7"/>
  <c r="E185" i="7"/>
  <c r="D185" i="7"/>
  <c r="C185" i="7"/>
  <c r="E54" i="7"/>
  <c r="D54" i="7"/>
  <c r="C54" i="7"/>
  <c r="E292" i="7"/>
  <c r="D292" i="7"/>
  <c r="C292" i="7"/>
  <c r="E74" i="7"/>
  <c r="D74" i="7"/>
  <c r="C74" i="7"/>
  <c r="E105" i="7"/>
  <c r="D105" i="7"/>
  <c r="C105" i="7"/>
  <c r="J105" i="7" s="1"/>
  <c r="K105" i="7" s="1"/>
  <c r="E96" i="7"/>
  <c r="D96" i="7"/>
  <c r="C96" i="7"/>
  <c r="E227" i="7"/>
  <c r="D227" i="7"/>
  <c r="C227" i="7"/>
  <c r="E89" i="7"/>
  <c r="D89" i="7"/>
  <c r="C89" i="7"/>
  <c r="E23" i="7"/>
  <c r="D23" i="7"/>
  <c r="C23" i="7"/>
  <c r="E117" i="7"/>
  <c r="D117" i="7"/>
  <c r="C117" i="7"/>
  <c r="E32" i="7"/>
  <c r="D32" i="7"/>
  <c r="C32" i="7"/>
  <c r="E116" i="7"/>
  <c r="D116" i="7"/>
  <c r="C116" i="7"/>
  <c r="E83" i="7"/>
  <c r="D83" i="7"/>
  <c r="C83" i="7"/>
  <c r="E7" i="7"/>
  <c r="D7" i="7"/>
  <c r="C7" i="7"/>
  <c r="E222" i="7"/>
  <c r="D222" i="7"/>
  <c r="C222" i="7"/>
  <c r="E45" i="7"/>
  <c r="D45" i="7"/>
  <c r="C45" i="7"/>
  <c r="E6" i="7"/>
  <c r="D6" i="7"/>
  <c r="C6" i="7"/>
  <c r="E101" i="7"/>
  <c r="D101" i="7"/>
  <c r="C101" i="7"/>
  <c r="E110" i="7"/>
  <c r="D110" i="7"/>
  <c r="C110" i="7"/>
  <c r="E171" i="7"/>
  <c r="D171" i="7"/>
  <c r="C171" i="7"/>
  <c r="E201" i="7"/>
  <c r="D201" i="7"/>
  <c r="C201" i="7"/>
  <c r="E221" i="7"/>
  <c r="D221" i="7"/>
  <c r="C221" i="7"/>
  <c r="E256" i="7"/>
  <c r="D256" i="7"/>
  <c r="C256" i="7"/>
  <c r="E151" i="7"/>
  <c r="D151" i="7"/>
  <c r="C151" i="7"/>
  <c r="E120" i="7"/>
  <c r="D120" i="7"/>
  <c r="C120" i="7"/>
  <c r="E102" i="7"/>
  <c r="D102" i="7"/>
  <c r="C102" i="7"/>
  <c r="E98" i="7"/>
  <c r="D98" i="7"/>
  <c r="C98" i="7"/>
  <c r="E64" i="7"/>
  <c r="D64" i="7"/>
  <c r="C64" i="7"/>
  <c r="E68" i="7"/>
  <c r="D68" i="7"/>
  <c r="C68" i="7"/>
  <c r="E121" i="7"/>
  <c r="D121" i="7"/>
  <c r="C121" i="7"/>
  <c r="E188" i="7"/>
  <c r="D188" i="7"/>
  <c r="C188" i="7"/>
  <c r="E184" i="7"/>
  <c r="D184" i="7"/>
  <c r="C184" i="7"/>
  <c r="E285" i="7"/>
  <c r="D285" i="7"/>
  <c r="C285" i="7"/>
  <c r="E142" i="7"/>
  <c r="D142" i="7"/>
  <c r="C142" i="7"/>
  <c r="E129" i="7"/>
  <c r="D129" i="7"/>
  <c r="C129" i="7"/>
  <c r="E18" i="7"/>
  <c r="D18" i="7"/>
  <c r="C18" i="7"/>
  <c r="E47" i="7"/>
  <c r="D47" i="7"/>
  <c r="C47" i="7"/>
  <c r="J47" i="7" s="1"/>
  <c r="K47" i="7" s="1"/>
  <c r="E266" i="7"/>
  <c r="D266" i="7"/>
  <c r="C266" i="7"/>
  <c r="E50" i="7"/>
  <c r="D50" i="7"/>
  <c r="C50" i="7"/>
  <c r="E281" i="7"/>
  <c r="D281" i="7"/>
  <c r="C281" i="7"/>
  <c r="E246" i="7"/>
  <c r="D246" i="7"/>
  <c r="C246" i="7"/>
  <c r="E139" i="7"/>
  <c r="D139" i="7"/>
  <c r="C139" i="7"/>
  <c r="J139" i="7" s="1"/>
  <c r="K139" i="7" s="1"/>
  <c r="E90" i="7"/>
  <c r="D90" i="7"/>
  <c r="C90" i="7"/>
  <c r="E261" i="7"/>
  <c r="D261" i="7"/>
  <c r="C261" i="7"/>
  <c r="E190" i="7"/>
  <c r="D190" i="7"/>
  <c r="C190" i="7"/>
  <c r="E179" i="7"/>
  <c r="D179" i="7"/>
  <c r="C179" i="7"/>
  <c r="E137" i="7"/>
  <c r="D137" i="7"/>
  <c r="C137" i="7"/>
  <c r="E106" i="7"/>
  <c r="D106" i="7"/>
  <c r="C106" i="7"/>
  <c r="E39" i="7"/>
  <c r="D39" i="7"/>
  <c r="C39" i="7"/>
  <c r="E136" i="7"/>
  <c r="D136" i="7"/>
  <c r="C136" i="7"/>
  <c r="E77" i="7"/>
  <c r="D77" i="7"/>
  <c r="C77" i="7"/>
  <c r="E126" i="7"/>
  <c r="D126" i="7"/>
  <c r="C126" i="7"/>
  <c r="E181" i="7"/>
  <c r="D181" i="7"/>
  <c r="C181" i="7"/>
  <c r="E65" i="7"/>
  <c r="D65" i="7"/>
  <c r="C65" i="7"/>
  <c r="E71" i="7"/>
  <c r="D71" i="7"/>
  <c r="C71" i="7"/>
  <c r="J71" i="7" s="1"/>
  <c r="K71" i="7" s="1"/>
  <c r="E212" i="7"/>
  <c r="D212" i="7"/>
  <c r="C212" i="7"/>
  <c r="E217" i="7"/>
  <c r="D217" i="7"/>
  <c r="C217" i="7"/>
  <c r="J217" i="7" s="1"/>
  <c r="K217" i="7" s="1"/>
  <c r="E297" i="7"/>
  <c r="D297" i="7"/>
  <c r="C297" i="7"/>
  <c r="E140" i="7"/>
  <c r="D140" i="7"/>
  <c r="C140" i="7"/>
  <c r="E291" i="7"/>
  <c r="D291" i="7"/>
  <c r="C291" i="7"/>
  <c r="E286" i="7"/>
  <c r="D286" i="7"/>
  <c r="C286" i="7"/>
  <c r="E37" i="7"/>
  <c r="D37" i="7"/>
  <c r="C37" i="7"/>
  <c r="J37" i="7" s="1"/>
  <c r="K37" i="7" s="1"/>
  <c r="E197" i="7"/>
  <c r="D197" i="7"/>
  <c r="C197" i="7"/>
  <c r="E233" i="7"/>
  <c r="D233" i="7"/>
  <c r="C233" i="7"/>
  <c r="E260" i="7"/>
  <c r="D260" i="7"/>
  <c r="C260" i="7"/>
  <c r="E4" i="7"/>
  <c r="D4" i="7"/>
  <c r="C4" i="7"/>
  <c r="E192" i="7"/>
  <c r="D192" i="7"/>
  <c r="C192" i="7"/>
  <c r="E16" i="7"/>
  <c r="D16" i="7"/>
  <c r="C16" i="7"/>
  <c r="E259" i="7"/>
  <c r="D259" i="7"/>
  <c r="C259" i="7"/>
  <c r="E251" i="7"/>
  <c r="D251" i="7"/>
  <c r="C251" i="7"/>
  <c r="E58" i="7"/>
  <c r="D58" i="7"/>
  <c r="C58" i="7"/>
  <c r="E169" i="7"/>
  <c r="D169" i="7"/>
  <c r="C169" i="7"/>
  <c r="E208" i="7"/>
  <c r="D208" i="7"/>
  <c r="C208" i="7"/>
  <c r="E277" i="7"/>
  <c r="D277" i="7"/>
  <c r="C277" i="7"/>
  <c r="E278" i="7"/>
  <c r="D278" i="7"/>
  <c r="C278" i="7"/>
  <c r="J278" i="7" s="1"/>
  <c r="K278" i="7" s="1"/>
  <c r="E237" i="7"/>
  <c r="D237" i="7"/>
  <c r="C237" i="7"/>
  <c r="E130" i="7"/>
  <c r="D130" i="7"/>
  <c r="C130" i="7"/>
  <c r="J130" i="7" s="1"/>
  <c r="K130" i="7" s="1"/>
  <c r="E70" i="7"/>
  <c r="D70" i="7"/>
  <c r="C70" i="7"/>
  <c r="E153" i="7"/>
  <c r="D153" i="7"/>
  <c r="C153" i="7"/>
  <c r="E25" i="7"/>
  <c r="D25" i="7"/>
  <c r="C25" i="7"/>
  <c r="E94" i="7"/>
  <c r="D94" i="7"/>
  <c r="C94" i="7"/>
  <c r="E206" i="7"/>
  <c r="D206" i="7"/>
  <c r="C206" i="7"/>
  <c r="J206" i="7" s="1"/>
  <c r="K206" i="7" s="1"/>
  <c r="E187" i="7"/>
  <c r="D187" i="7"/>
  <c r="C187" i="7"/>
  <c r="E183" i="7"/>
  <c r="D183" i="7"/>
  <c r="C183" i="7"/>
  <c r="E172" i="7"/>
  <c r="D172" i="7"/>
  <c r="C172" i="7"/>
  <c r="E147" i="7"/>
  <c r="D147" i="7"/>
  <c r="C147" i="7"/>
  <c r="E20" i="7"/>
  <c r="D20" i="7"/>
  <c r="C20" i="7"/>
  <c r="E53" i="7"/>
  <c r="D53" i="7"/>
  <c r="C53" i="7"/>
  <c r="E14" i="7"/>
  <c r="D14" i="7"/>
  <c r="C14" i="7"/>
  <c r="E87" i="7"/>
  <c r="D87" i="7"/>
  <c r="C87" i="7"/>
  <c r="E240" i="7"/>
  <c r="D240" i="7"/>
  <c r="C240" i="7"/>
  <c r="E254" i="7"/>
  <c r="D254" i="7"/>
  <c r="C254" i="7"/>
  <c r="E265" i="7"/>
  <c r="D265" i="7"/>
  <c r="C265" i="7"/>
  <c r="E156" i="7"/>
  <c r="D156" i="7"/>
  <c r="C156" i="7"/>
  <c r="E226" i="7"/>
  <c r="D226" i="7"/>
  <c r="C226" i="7"/>
  <c r="J226" i="7" s="1"/>
  <c r="K226" i="7" s="1"/>
  <c r="E92" i="7"/>
  <c r="D92" i="7"/>
  <c r="C92" i="7"/>
  <c r="E296" i="7"/>
  <c r="D296" i="7"/>
  <c r="C296" i="7"/>
  <c r="J296" i="7" s="1"/>
  <c r="K296" i="7" s="1"/>
  <c r="E257" i="7"/>
  <c r="D257" i="7"/>
  <c r="C257" i="7"/>
  <c r="E111" i="7"/>
  <c r="D111" i="7"/>
  <c r="C111" i="7"/>
  <c r="E166" i="7"/>
  <c r="D166" i="7"/>
  <c r="C166" i="7"/>
  <c r="E228" i="7"/>
  <c r="D228" i="7"/>
  <c r="C228" i="7"/>
  <c r="E52" i="7"/>
  <c r="D52" i="7"/>
  <c r="C52" i="7"/>
  <c r="J52" i="7" s="1"/>
  <c r="K52" i="7" s="1"/>
  <c r="E145" i="7"/>
  <c r="D145" i="7"/>
  <c r="C145" i="7"/>
  <c r="E12" i="7"/>
  <c r="D12" i="7"/>
  <c r="C12" i="7"/>
  <c r="E270" i="7"/>
  <c r="D270" i="7"/>
  <c r="C270" i="7"/>
  <c r="E35" i="7"/>
  <c r="D35" i="7"/>
  <c r="C35" i="7"/>
  <c r="E30" i="7"/>
  <c r="D30" i="7"/>
  <c r="C30" i="7"/>
  <c r="E242" i="7"/>
  <c r="D242" i="7"/>
  <c r="C242" i="7"/>
  <c r="E167" i="7"/>
  <c r="D167" i="7"/>
  <c r="C167" i="7"/>
  <c r="E176" i="7"/>
  <c r="D176" i="7"/>
  <c r="C176" i="7"/>
  <c r="E267" i="7"/>
  <c r="D267" i="7"/>
  <c r="C267" i="7"/>
  <c r="E135" i="7"/>
  <c r="D135" i="7"/>
  <c r="C135" i="7"/>
  <c r="E234" i="7"/>
  <c r="D234" i="7"/>
  <c r="C234" i="7"/>
  <c r="E73" i="7"/>
  <c r="D73" i="7"/>
  <c r="C73" i="7"/>
  <c r="E57" i="7"/>
  <c r="D57" i="7"/>
  <c r="C57" i="7"/>
  <c r="J57" i="7" s="1"/>
  <c r="K57" i="7" s="1"/>
  <c r="E97" i="7"/>
  <c r="D97" i="7"/>
  <c r="C97" i="7"/>
  <c r="E223" i="7"/>
  <c r="D223" i="7"/>
  <c r="C223" i="7"/>
  <c r="J223" i="7" s="1"/>
  <c r="K223" i="7" s="1"/>
  <c r="E182" i="7"/>
  <c r="D182" i="7"/>
  <c r="C182" i="7"/>
  <c r="E193" i="7"/>
  <c r="D193" i="7"/>
  <c r="C193" i="7"/>
  <c r="E252" i="7"/>
  <c r="D252" i="7"/>
  <c r="C252" i="7"/>
  <c r="E271" i="7"/>
  <c r="D271" i="7"/>
  <c r="C271" i="7"/>
  <c r="E93" i="7"/>
  <c r="D93" i="7"/>
  <c r="C93" i="7"/>
  <c r="J93" i="7" s="1"/>
  <c r="K93" i="7" s="1"/>
  <c r="E51" i="7"/>
  <c r="D51" i="7"/>
  <c r="C51" i="7"/>
  <c r="E86" i="7"/>
  <c r="D86" i="7"/>
  <c r="C86" i="7"/>
  <c r="E56" i="7"/>
  <c r="D56" i="7"/>
  <c r="C56" i="7"/>
  <c r="E114" i="7"/>
  <c r="D114" i="7"/>
  <c r="C114" i="7"/>
  <c r="E36" i="7"/>
  <c r="D36" i="7"/>
  <c r="C36" i="7"/>
  <c r="E78" i="7"/>
  <c r="D78" i="7"/>
  <c r="C78" i="7"/>
  <c r="E210" i="7"/>
  <c r="D210" i="7"/>
  <c r="C210" i="7"/>
  <c r="E164" i="7"/>
  <c r="D164" i="7"/>
  <c r="C164" i="7"/>
  <c r="E272" i="7"/>
  <c r="D272" i="7"/>
  <c r="C272" i="7"/>
  <c r="E219" i="7"/>
  <c r="D219" i="7"/>
  <c r="C219" i="7"/>
  <c r="E287" i="7"/>
  <c r="D287" i="7"/>
  <c r="C287" i="7"/>
  <c r="E199" i="7"/>
  <c r="D199" i="7"/>
  <c r="C199" i="7"/>
  <c r="E103" i="7"/>
  <c r="D103" i="7"/>
  <c r="C103" i="7"/>
  <c r="J103" i="7" s="1"/>
  <c r="K103" i="7" s="1"/>
  <c r="E159" i="7"/>
  <c r="D159" i="7"/>
  <c r="C159" i="7"/>
  <c r="E34" i="7"/>
  <c r="D34" i="7"/>
  <c r="C34" i="7"/>
  <c r="E168" i="7"/>
  <c r="D168" i="7"/>
  <c r="C168" i="7"/>
  <c r="E5" i="7"/>
  <c r="D5" i="7"/>
  <c r="C5" i="7"/>
  <c r="E282" i="7"/>
  <c r="D282" i="7"/>
  <c r="C282" i="7"/>
  <c r="E249" i="7"/>
  <c r="D249" i="7"/>
  <c r="C249" i="7"/>
  <c r="E67" i="7"/>
  <c r="D67" i="7"/>
  <c r="C67" i="7"/>
  <c r="J67" i="7" s="1"/>
  <c r="K67" i="7" s="1"/>
  <c r="E275" i="7"/>
  <c r="D275" i="7"/>
  <c r="C275" i="7"/>
  <c r="E174" i="7"/>
  <c r="D174" i="7"/>
  <c r="C174" i="7"/>
  <c r="E288" i="7"/>
  <c r="D288" i="7"/>
  <c r="C288" i="7"/>
  <c r="J288" i="7" s="1"/>
  <c r="K288" i="7" s="1"/>
  <c r="E10" i="7"/>
  <c r="D10" i="7"/>
  <c r="C10" i="7"/>
  <c r="E157" i="7"/>
  <c r="D157" i="7"/>
  <c r="C157" i="7"/>
  <c r="E241" i="7"/>
  <c r="D241" i="7"/>
  <c r="C241" i="7"/>
  <c r="E269" i="7"/>
  <c r="D269" i="7"/>
  <c r="C269" i="7"/>
  <c r="E43" i="7"/>
  <c r="D43" i="7"/>
  <c r="C43" i="7"/>
  <c r="E60" i="7"/>
  <c r="D60" i="7"/>
  <c r="C60" i="7"/>
  <c r="E2" i="7"/>
  <c r="D2" i="7"/>
  <c r="C2" i="7"/>
  <c r="E209" i="7"/>
  <c r="D209" i="7"/>
  <c r="C209" i="7"/>
  <c r="E122" i="7"/>
  <c r="D122" i="7"/>
  <c r="C122" i="7"/>
  <c r="E82" i="7"/>
  <c r="D82" i="7"/>
  <c r="C82" i="7"/>
  <c r="J82" i="7" s="1"/>
  <c r="K82" i="7" s="1"/>
  <c r="E158" i="7"/>
  <c r="D158" i="7"/>
  <c r="C158" i="7"/>
  <c r="E19" i="7"/>
  <c r="D19" i="7"/>
  <c r="C19" i="7"/>
  <c r="E163" i="7"/>
  <c r="D163" i="7"/>
  <c r="C163" i="7"/>
  <c r="E76" i="7"/>
  <c r="D76" i="7"/>
  <c r="C76" i="7"/>
  <c r="E3" i="7"/>
  <c r="D3" i="7"/>
  <c r="C3" i="7"/>
  <c r="E79" i="7"/>
  <c r="D79" i="7"/>
  <c r="C79" i="7"/>
  <c r="E247" i="7"/>
  <c r="D247" i="7"/>
  <c r="C247" i="7"/>
  <c r="J247" i="7" s="1"/>
  <c r="K247" i="7" s="1"/>
  <c r="E44" i="7"/>
  <c r="D44" i="7"/>
  <c r="C44" i="7"/>
  <c r="E75" i="7"/>
  <c r="D75" i="7"/>
  <c r="C75" i="7"/>
  <c r="E13" i="7"/>
  <c r="D13" i="7"/>
  <c r="C13" i="7"/>
  <c r="E141" i="7"/>
  <c r="D141" i="7"/>
  <c r="C141" i="7"/>
  <c r="E214" i="7"/>
  <c r="D214" i="7"/>
  <c r="C214" i="7"/>
  <c r="E27" i="7"/>
  <c r="D27" i="7"/>
  <c r="C27" i="7"/>
  <c r="E38" i="7"/>
  <c r="D38" i="7"/>
  <c r="C38" i="7"/>
  <c r="E200" i="7"/>
  <c r="D200" i="7"/>
  <c r="C200" i="7"/>
  <c r="E59" i="7"/>
  <c r="D59" i="7"/>
  <c r="C59" i="7"/>
  <c r="E62" i="7"/>
  <c r="D62" i="7"/>
  <c r="C62" i="7"/>
  <c r="E303" i="7"/>
  <c r="D303" i="7"/>
  <c r="C303" i="7"/>
  <c r="E55" i="7"/>
  <c r="D55" i="7"/>
  <c r="C55" i="7"/>
  <c r="E165" i="7"/>
  <c r="D165" i="7"/>
  <c r="C165" i="7"/>
  <c r="J165" i="7" s="1"/>
  <c r="K165" i="7" s="1"/>
  <c r="E146" i="7"/>
  <c r="D146" i="7"/>
  <c r="C146" i="7"/>
  <c r="E99" i="7"/>
  <c r="D99" i="7"/>
  <c r="C99" i="7"/>
  <c r="E88" i="7"/>
  <c r="D88" i="7"/>
  <c r="C88" i="7"/>
  <c r="E8" i="7"/>
  <c r="D8" i="7"/>
  <c r="C8" i="7"/>
  <c r="E29" i="7"/>
  <c r="D29" i="7"/>
  <c r="C29" i="7"/>
  <c r="E205" i="7"/>
  <c r="D205" i="7"/>
  <c r="C205" i="7"/>
  <c r="E244" i="7"/>
  <c r="D244" i="7"/>
  <c r="C244" i="7"/>
  <c r="J244" i="7" s="1"/>
  <c r="K244" i="7" s="1"/>
  <c r="E46" i="7"/>
  <c r="D46" i="7"/>
  <c r="C46" i="7"/>
  <c r="E61" i="7"/>
  <c r="D61" i="7"/>
  <c r="C61" i="7"/>
  <c r="E203" i="7"/>
  <c r="D203" i="7"/>
  <c r="C203" i="7"/>
  <c r="E276" i="7"/>
  <c r="D276" i="7"/>
  <c r="C276" i="7"/>
  <c r="E24" i="7"/>
  <c r="D24" i="7"/>
  <c r="C24" i="7"/>
  <c r="E290" i="7"/>
  <c r="D290" i="7"/>
  <c r="C290" i="7"/>
  <c r="E177" i="7"/>
  <c r="D177" i="7"/>
  <c r="C177" i="7"/>
  <c r="E133" i="7"/>
  <c r="D133" i="7"/>
  <c r="C133" i="7"/>
  <c r="E253" i="7"/>
  <c r="D253" i="7"/>
  <c r="C253" i="7"/>
  <c r="E31" i="7"/>
  <c r="D31" i="7"/>
  <c r="C31" i="7"/>
  <c r="E125" i="7"/>
  <c r="D125" i="7"/>
  <c r="C125" i="7"/>
  <c r="E307" i="7"/>
  <c r="D307" i="7"/>
  <c r="C307" i="7"/>
  <c r="E218" i="7"/>
  <c r="D218" i="7"/>
  <c r="C218" i="7"/>
  <c r="J218" i="7" s="1"/>
  <c r="K218" i="7" s="1"/>
  <c r="E220" i="7"/>
  <c r="D220" i="7"/>
  <c r="C220" i="7"/>
  <c r="E42" i="7"/>
  <c r="D42" i="7"/>
  <c r="C42" i="7"/>
  <c r="E189" i="7"/>
  <c r="D189" i="7"/>
  <c r="C189" i="7"/>
  <c r="E41" i="7"/>
  <c r="D41" i="7"/>
  <c r="C41" i="7"/>
  <c r="E22" i="7"/>
  <c r="D22" i="7"/>
  <c r="C22" i="7"/>
  <c r="E273" i="7"/>
  <c r="D273" i="7"/>
  <c r="C273" i="7"/>
  <c r="E268" i="7"/>
  <c r="D268" i="7"/>
  <c r="C268" i="7"/>
  <c r="E207" i="7"/>
  <c r="D207" i="7"/>
  <c r="C207" i="7"/>
  <c r="E134" i="7"/>
  <c r="D134" i="7"/>
  <c r="C134" i="7"/>
  <c r="E255" i="7"/>
  <c r="D255" i="7"/>
  <c r="C255" i="7"/>
  <c r="E49" i="7"/>
  <c r="D49" i="7"/>
  <c r="C49" i="7"/>
  <c r="E66" i="7"/>
  <c r="D66" i="7"/>
  <c r="C66" i="7"/>
  <c r="E300" i="7"/>
  <c r="D300" i="7"/>
  <c r="C300" i="7"/>
  <c r="E48" i="7"/>
  <c r="D48" i="7"/>
  <c r="C48" i="7"/>
  <c r="E95" i="7"/>
  <c r="D95" i="7"/>
  <c r="C95" i="7"/>
  <c r="E124" i="7"/>
  <c r="D124" i="7"/>
  <c r="C124" i="7"/>
  <c r="E229" i="7"/>
  <c r="D229" i="7"/>
  <c r="C229" i="7"/>
  <c r="E132" i="7"/>
  <c r="D132" i="7"/>
  <c r="C132" i="7"/>
  <c r="E85" i="7"/>
  <c r="D85" i="7"/>
  <c r="C85" i="7"/>
  <c r="E264" i="7"/>
  <c r="D264" i="7"/>
  <c r="C264" i="7"/>
  <c r="J264" i="7" s="1"/>
  <c r="K264" i="7" s="1"/>
  <c r="E306" i="7"/>
  <c r="D306" i="7"/>
  <c r="C306" i="7"/>
  <c r="E109" i="7"/>
  <c r="D109" i="7"/>
  <c r="C109" i="7"/>
  <c r="J109" i="7" s="1"/>
  <c r="K109" i="7" s="1"/>
  <c r="E21" i="7"/>
  <c r="D21" i="7"/>
  <c r="C21" i="7"/>
  <c r="E119" i="7"/>
  <c r="D119" i="7"/>
  <c r="C119" i="7"/>
  <c r="E118" i="7"/>
  <c r="D118" i="7"/>
  <c r="C118" i="7"/>
  <c r="E123" i="7"/>
  <c r="D123" i="7"/>
  <c r="C123" i="7"/>
  <c r="E178" i="7"/>
  <c r="D178" i="7"/>
  <c r="C178" i="7"/>
  <c r="E248" i="7"/>
  <c r="D248" i="7"/>
  <c r="C248" i="7"/>
  <c r="E40" i="7"/>
  <c r="D40" i="7"/>
  <c r="C40" i="7"/>
  <c r="E250" i="7"/>
  <c r="D250" i="7"/>
  <c r="C250" i="7"/>
  <c r="J250" i="7" s="1"/>
  <c r="K250" i="7" s="1"/>
  <c r="E191" i="7"/>
  <c r="D191" i="7"/>
  <c r="C191" i="7"/>
  <c r="E305" i="7"/>
  <c r="D305" i="7"/>
  <c r="C305" i="7"/>
  <c r="E295" i="7"/>
  <c r="D295" i="7"/>
  <c r="C295" i="7"/>
  <c r="E238" i="7"/>
  <c r="D238" i="7"/>
  <c r="C238" i="7"/>
  <c r="E180" i="7"/>
  <c r="D180" i="7"/>
  <c r="C180" i="7"/>
  <c r="E298" i="7"/>
  <c r="D298" i="7"/>
  <c r="C298" i="7"/>
  <c r="E112" i="7"/>
  <c r="D112" i="7"/>
  <c r="C112" i="7"/>
  <c r="E152" i="7"/>
  <c r="D152" i="7"/>
  <c r="C152" i="7"/>
  <c r="E299" i="7"/>
  <c r="D299" i="7"/>
  <c r="C299" i="7"/>
  <c r="E194" i="7"/>
  <c r="D194" i="7"/>
  <c r="C194" i="7"/>
  <c r="J194" i="7" s="1"/>
  <c r="K194" i="7" s="1"/>
  <c r="E143" i="7"/>
  <c r="D143" i="7"/>
  <c r="C143" i="7"/>
  <c r="E107" i="7"/>
  <c r="D107" i="7"/>
  <c r="C107" i="7"/>
  <c r="J107" i="7" s="1"/>
  <c r="K107" i="7" s="1"/>
  <c r="E198" i="7"/>
  <c r="D198" i="7"/>
  <c r="C198" i="7"/>
  <c r="E301" i="7"/>
  <c r="D301" i="7"/>
  <c r="C301" i="7"/>
  <c r="E204" i="7"/>
  <c r="D204" i="7"/>
  <c r="C204" i="7"/>
  <c r="E230" i="7"/>
  <c r="D230" i="7"/>
  <c r="C230" i="7"/>
  <c r="E243" i="7"/>
  <c r="D243" i="7"/>
  <c r="C243" i="7"/>
  <c r="E232" i="7"/>
  <c r="D232" i="7"/>
  <c r="C232" i="7"/>
  <c r="E115" i="7"/>
  <c r="D115" i="7"/>
  <c r="C115" i="7"/>
  <c r="E224" i="7"/>
  <c r="D224" i="7"/>
  <c r="C224" i="7"/>
  <c r="E283" i="7"/>
  <c r="D283" i="7"/>
  <c r="C283" i="7"/>
  <c r="E84" i="7"/>
  <c r="D84" i="7"/>
  <c r="C84" i="7"/>
  <c r="E28" i="7"/>
  <c r="D28" i="7"/>
  <c r="C28" i="7"/>
  <c r="E231" i="7"/>
  <c r="D231" i="7"/>
  <c r="C231" i="7"/>
  <c r="E175" i="7"/>
  <c r="D175" i="7"/>
  <c r="C175" i="7"/>
  <c r="E15" i="7"/>
  <c r="D15" i="7"/>
  <c r="C15" i="7"/>
  <c r="E26" i="7"/>
  <c r="D26" i="7"/>
  <c r="C26" i="7"/>
  <c r="E127" i="7"/>
  <c r="D127" i="7"/>
  <c r="C127" i="7"/>
  <c r="E239" i="7"/>
  <c r="D239" i="7"/>
  <c r="C239" i="7"/>
  <c r="E279" i="7"/>
  <c r="D279" i="7"/>
  <c r="C279" i="7"/>
  <c r="E304" i="7"/>
  <c r="D304" i="7"/>
  <c r="C304" i="7"/>
  <c r="E149" i="7"/>
  <c r="D149" i="7"/>
  <c r="C149" i="7"/>
  <c r="J149" i="7" s="1"/>
  <c r="K149" i="7" s="1"/>
  <c r="E150" i="7"/>
  <c r="D150" i="7"/>
  <c r="C150" i="7"/>
  <c r="E148" i="7"/>
  <c r="D148" i="7"/>
  <c r="C148" i="7"/>
  <c r="E31" i="6"/>
  <c r="D31" i="6"/>
  <c r="C31" i="6"/>
  <c r="E30" i="6"/>
  <c r="D30" i="6"/>
  <c r="C30" i="6"/>
  <c r="E29" i="6"/>
  <c r="D29" i="6"/>
  <c r="C29" i="6"/>
  <c r="E28" i="6"/>
  <c r="D28" i="6"/>
  <c r="C28" i="6"/>
  <c r="J221" i="7" l="1"/>
  <c r="K221" i="7" s="1"/>
  <c r="J54" i="7"/>
  <c r="K54" i="7" s="1"/>
  <c r="J262" i="7"/>
  <c r="K262" i="7" s="1"/>
  <c r="J268" i="7"/>
  <c r="K268" i="7" s="1"/>
  <c r="J155" i="7"/>
  <c r="K155" i="7" s="1"/>
  <c r="J129" i="7"/>
  <c r="K129" i="7" s="1"/>
  <c r="J222" i="7"/>
  <c r="K222" i="7" s="1"/>
  <c r="J293" i="7"/>
  <c r="K293" i="7" s="1"/>
  <c r="J161" i="7"/>
  <c r="K161" i="7" s="1"/>
  <c r="J216" i="7"/>
  <c r="K216" i="7" s="1"/>
  <c r="J239" i="7"/>
  <c r="K239" i="7" s="1"/>
  <c r="J299" i="7"/>
  <c r="K299" i="7" s="1"/>
  <c r="J85" i="7"/>
  <c r="K85" i="7" s="1"/>
  <c r="J55" i="7"/>
  <c r="K55" i="7" s="1"/>
  <c r="J122" i="7"/>
  <c r="K122" i="7" s="1"/>
  <c r="J195" i="7"/>
  <c r="K195" i="7" s="1"/>
  <c r="J307" i="7"/>
  <c r="K307" i="7" s="1"/>
  <c r="J199" i="7"/>
  <c r="K199" i="7" s="1"/>
  <c r="J73" i="7"/>
  <c r="K73" i="7" s="1"/>
  <c r="J156" i="7"/>
  <c r="K156" i="7" s="1"/>
  <c r="J277" i="7"/>
  <c r="K277" i="7" s="1"/>
  <c r="J80" i="7"/>
  <c r="K80" i="7" s="1"/>
  <c r="J150" i="7"/>
  <c r="K150" i="7" s="1"/>
  <c r="J198" i="7"/>
  <c r="K198" i="7" s="1"/>
  <c r="J21" i="7"/>
  <c r="K21" i="7" s="1"/>
  <c r="J266" i="7"/>
  <c r="K266" i="7" s="1"/>
  <c r="J101" i="7"/>
  <c r="K101" i="7" s="1"/>
  <c r="J69" i="7"/>
  <c r="K69" i="7" s="1"/>
  <c r="J113" i="7"/>
  <c r="K113" i="7" s="1"/>
  <c r="J100" i="7"/>
  <c r="K100" i="7" s="1"/>
  <c r="J15" i="7"/>
  <c r="K15" i="7" s="1"/>
  <c r="J253" i="7"/>
  <c r="K253" i="7" s="1"/>
  <c r="J58" i="7"/>
  <c r="K58" i="7" s="1"/>
  <c r="J77" i="7"/>
  <c r="K77" i="7" s="1"/>
  <c r="J188" i="7"/>
  <c r="K188" i="7" s="1"/>
  <c r="J32" i="7"/>
  <c r="K32" i="7" s="1"/>
  <c r="J263" i="7"/>
  <c r="K263" i="7" s="1"/>
  <c r="J213" i="7"/>
  <c r="K213" i="7" s="1"/>
  <c r="J175" i="7"/>
  <c r="K175" i="7" s="1"/>
  <c r="J164" i="7"/>
  <c r="K164" i="7" s="1"/>
  <c r="J176" i="7"/>
  <c r="K176" i="7" s="1"/>
  <c r="J87" i="7"/>
  <c r="K87" i="7" s="1"/>
  <c r="J251" i="7"/>
  <c r="K251" i="7" s="1"/>
  <c r="J136" i="7"/>
  <c r="K136" i="7" s="1"/>
  <c r="J121" i="7"/>
  <c r="K121" i="7" s="1"/>
  <c r="J117" i="7"/>
  <c r="K117" i="7" s="1"/>
  <c r="J258" i="7"/>
  <c r="K258" i="7" s="1"/>
  <c r="J230" i="7"/>
  <c r="K230" i="7" s="1"/>
  <c r="J123" i="7"/>
  <c r="K123" i="7" s="1"/>
  <c r="J273" i="7"/>
  <c r="K273" i="7" s="1"/>
  <c r="J205" i="7"/>
  <c r="K205" i="7" s="1"/>
  <c r="J79" i="7"/>
  <c r="K79" i="7" s="1"/>
  <c r="J249" i="7"/>
  <c r="K249" i="7" s="1"/>
  <c r="J271" i="7"/>
  <c r="K271" i="7" s="1"/>
  <c r="J228" i="7"/>
  <c r="K228" i="7" s="1"/>
  <c r="J94" i="7"/>
  <c r="K94" i="7" s="1"/>
  <c r="J286" i="7"/>
  <c r="K286" i="7" s="1"/>
  <c r="J84" i="7"/>
  <c r="K84" i="7" s="1"/>
  <c r="J61" i="7"/>
  <c r="K61" i="7" s="1"/>
  <c r="J283" i="7"/>
  <c r="K283" i="7" s="1"/>
  <c r="J191" i="7"/>
  <c r="K191" i="7" s="1"/>
  <c r="J49" i="7"/>
  <c r="K49" i="7" s="1"/>
  <c r="J276" i="7"/>
  <c r="K276" i="7" s="1"/>
  <c r="J141" i="7"/>
  <c r="K141" i="7" s="1"/>
  <c r="J10" i="7"/>
  <c r="K10" i="7" s="1"/>
  <c r="J147" i="7"/>
  <c r="K147" i="7" s="1"/>
  <c r="J148" i="7"/>
  <c r="K148" i="7" s="1"/>
  <c r="J301" i="7"/>
  <c r="K301" i="7" s="1"/>
  <c r="J119" i="7"/>
  <c r="K119" i="7" s="1"/>
  <c r="J41" i="7"/>
  <c r="K41" i="7" s="1"/>
  <c r="J8" i="7"/>
  <c r="K8" i="7" s="1"/>
  <c r="J193" i="7"/>
  <c r="K193" i="7" s="1"/>
  <c r="J111" i="7"/>
  <c r="K111" i="7" s="1"/>
  <c r="J236" i="7"/>
  <c r="K236" i="7" s="1"/>
  <c r="J160" i="7"/>
  <c r="K160" i="7" s="1"/>
  <c r="J99" i="7"/>
  <c r="K99" i="7" s="1"/>
  <c r="J275" i="7"/>
  <c r="K275" i="7" s="1"/>
  <c r="J34" i="7"/>
  <c r="K34" i="7" s="1"/>
  <c r="J51" i="7"/>
  <c r="K51" i="7" s="1"/>
  <c r="J145" i="7"/>
  <c r="K145" i="7" s="1"/>
  <c r="J187" i="7"/>
  <c r="K187" i="7" s="1"/>
  <c r="J197" i="7"/>
  <c r="K197" i="7" s="1"/>
  <c r="J90" i="7"/>
  <c r="K90" i="7" s="1"/>
  <c r="J256" i="7"/>
  <c r="K256" i="7" s="1"/>
  <c r="J292" i="7"/>
  <c r="K292" i="7" s="1"/>
  <c r="J131" i="7"/>
  <c r="K131" i="7" s="1"/>
  <c r="J202" i="7"/>
  <c r="K202" i="7" s="1"/>
  <c r="J177" i="7"/>
  <c r="K177" i="7" s="1"/>
  <c r="J38" i="7"/>
  <c r="K38" i="7" s="1"/>
  <c r="J269" i="7"/>
  <c r="K269" i="7" s="1"/>
  <c r="J210" i="7"/>
  <c r="K210" i="7" s="1"/>
  <c r="J167" i="7"/>
  <c r="K167" i="7" s="1"/>
  <c r="J14" i="7"/>
  <c r="K14" i="7" s="1"/>
  <c r="J259" i="7"/>
  <c r="K259" i="7" s="1"/>
  <c r="J39" i="7"/>
  <c r="K39" i="7" s="1"/>
  <c r="J23" i="7"/>
  <c r="K23" i="7" s="1"/>
  <c r="J81" i="7"/>
  <c r="K81" i="7" s="1"/>
  <c r="J162" i="7"/>
  <c r="K162" i="7" s="1"/>
  <c r="J135" i="7"/>
  <c r="K135" i="7" s="1"/>
  <c r="J190" i="7"/>
  <c r="K190" i="7" s="1"/>
  <c r="J11" i="7"/>
  <c r="K11" i="7" s="1"/>
  <c r="J274" i="7"/>
  <c r="K274" i="7" s="1"/>
  <c r="J2" i="7"/>
  <c r="K2" i="7" s="1"/>
  <c r="J13" i="7"/>
  <c r="K13" i="7" s="1"/>
  <c r="J172" i="7"/>
  <c r="K172" i="7" s="1"/>
  <c r="J40" i="7"/>
  <c r="K40" i="7" s="1"/>
  <c r="J12" i="7"/>
  <c r="K12" i="7" s="1"/>
  <c r="J305" i="7"/>
  <c r="K305" i="7" s="1"/>
  <c r="J66" i="7"/>
  <c r="K66" i="7" s="1"/>
  <c r="J24" i="7"/>
  <c r="K24" i="7" s="1"/>
  <c r="J214" i="7"/>
  <c r="K214" i="7" s="1"/>
  <c r="J157" i="7"/>
  <c r="K157" i="7" s="1"/>
  <c r="J36" i="7"/>
  <c r="K36" i="7" s="1"/>
  <c r="J30" i="7"/>
  <c r="K30" i="7" s="1"/>
  <c r="J20" i="7"/>
  <c r="K20" i="7" s="1"/>
  <c r="J227" i="7"/>
  <c r="K227" i="7" s="1"/>
  <c r="J22" i="7"/>
  <c r="K22" i="7" s="1"/>
  <c r="J252" i="7"/>
  <c r="K252" i="7" s="1"/>
  <c r="J25" i="7"/>
  <c r="K25" i="7" s="1"/>
  <c r="J169" i="7"/>
  <c r="K169" i="7" s="1"/>
  <c r="J56" i="7"/>
  <c r="K56" i="7" s="1"/>
  <c r="J174" i="7"/>
  <c r="K174" i="7" s="1"/>
  <c r="J204" i="7"/>
  <c r="K204" i="7" s="1"/>
  <c r="J3" i="7"/>
  <c r="K3" i="7" s="1"/>
  <c r="J152" i="7"/>
  <c r="K152" i="7" s="1"/>
  <c r="J125" i="7"/>
  <c r="K125" i="7" s="1"/>
  <c r="J209" i="7"/>
  <c r="K209" i="7" s="1"/>
  <c r="J208" i="7"/>
  <c r="K208" i="7" s="1"/>
  <c r="J291" i="7"/>
  <c r="K291" i="7" s="1"/>
  <c r="J146" i="7"/>
  <c r="K146" i="7" s="1"/>
  <c r="J289" i="7"/>
  <c r="K289" i="7" s="1"/>
  <c r="J241" i="7"/>
  <c r="K241" i="7" s="1"/>
  <c r="J237" i="7"/>
  <c r="K237" i="7" s="1"/>
  <c r="J18" i="7"/>
  <c r="K18" i="7" s="1"/>
  <c r="J91" i="7"/>
  <c r="K91" i="7" s="1"/>
  <c r="J243" i="7"/>
  <c r="K243" i="7" s="1"/>
  <c r="J238" i="7"/>
  <c r="K238" i="7" s="1"/>
  <c r="J46" i="7"/>
  <c r="K46" i="7" s="1"/>
  <c r="J200" i="7"/>
  <c r="K200" i="7" s="1"/>
  <c r="J19" i="7"/>
  <c r="K19" i="7" s="1"/>
  <c r="J267" i="7"/>
  <c r="K267" i="7" s="1"/>
  <c r="J260" i="7"/>
  <c r="K260" i="7" s="1"/>
  <c r="J170" i="7"/>
  <c r="K170" i="7" s="1"/>
  <c r="J302" i="7"/>
  <c r="K302" i="7" s="1"/>
  <c r="J279" i="7"/>
  <c r="K279" i="7" s="1"/>
  <c r="J143" i="7"/>
  <c r="K143" i="7" s="1"/>
  <c r="J178" i="7"/>
  <c r="K178" i="7" s="1"/>
  <c r="J306" i="7"/>
  <c r="K306" i="7" s="1"/>
  <c r="J48" i="7"/>
  <c r="K48" i="7" s="1"/>
  <c r="J44" i="7"/>
  <c r="K44" i="7" s="1"/>
  <c r="J43" i="7"/>
  <c r="K43" i="7" s="1"/>
  <c r="J86" i="7"/>
  <c r="K86" i="7" s="1"/>
  <c r="J240" i="7"/>
  <c r="K240" i="7" s="1"/>
  <c r="J70" i="7"/>
  <c r="K70" i="7" s="1"/>
  <c r="J297" i="7"/>
  <c r="K297" i="7" s="1"/>
  <c r="J126" i="7"/>
  <c r="K126" i="7" s="1"/>
  <c r="J184" i="7"/>
  <c r="K184" i="7" s="1"/>
  <c r="J120" i="7"/>
  <c r="K120" i="7" s="1"/>
  <c r="J116" i="7"/>
  <c r="K116" i="7" s="1"/>
  <c r="J128" i="7"/>
  <c r="K128" i="7" s="1"/>
  <c r="J245" i="7"/>
  <c r="K245" i="7" s="1"/>
  <c r="J104" i="7"/>
  <c r="K104" i="7" s="1"/>
  <c r="J183" i="7"/>
  <c r="K183" i="7" s="1"/>
  <c r="J300" i="7"/>
  <c r="K300" i="7" s="1"/>
  <c r="J6" i="7"/>
  <c r="K6" i="7" s="1"/>
  <c r="J74" i="7"/>
  <c r="K74" i="7" s="1"/>
  <c r="J280" i="7"/>
  <c r="K280" i="7" s="1"/>
  <c r="J29" i="7"/>
  <c r="K29" i="7" s="1"/>
  <c r="J132" i="7"/>
  <c r="K132" i="7" s="1"/>
  <c r="J16" i="7"/>
  <c r="K16" i="7" s="1"/>
  <c r="J303" i="7"/>
  <c r="K303" i="7" s="1"/>
  <c r="J106" i="7"/>
  <c r="K106" i="7" s="1"/>
  <c r="J298" i="7"/>
  <c r="K298" i="7" s="1"/>
  <c r="J255" i="7"/>
  <c r="K255" i="7" s="1"/>
  <c r="J31" i="7"/>
  <c r="K31" i="7" s="1"/>
  <c r="J203" i="7"/>
  <c r="K203" i="7" s="1"/>
  <c r="J76" i="7"/>
  <c r="K76" i="7" s="1"/>
  <c r="J5" i="7"/>
  <c r="K5" i="7" s="1"/>
  <c r="J114" i="7"/>
  <c r="K114" i="7" s="1"/>
  <c r="J234" i="7"/>
  <c r="K234" i="7" s="1"/>
  <c r="J166" i="7"/>
  <c r="K166" i="7" s="1"/>
  <c r="J192" i="7"/>
  <c r="K192" i="7" s="1"/>
  <c r="J65" i="7"/>
  <c r="K65" i="7" s="1"/>
  <c r="J246" i="7"/>
  <c r="K246" i="7" s="1"/>
  <c r="J142" i="7"/>
  <c r="K142" i="7" s="1"/>
  <c r="J7" i="7"/>
  <c r="K7" i="7" s="1"/>
  <c r="J89" i="7"/>
  <c r="K89" i="7" s="1"/>
  <c r="J225" i="7"/>
  <c r="K225" i="7" s="1"/>
  <c r="J158" i="7"/>
  <c r="K158" i="7" s="1"/>
  <c r="J159" i="7"/>
  <c r="K159" i="7" s="1"/>
  <c r="J261" i="7"/>
  <c r="K261" i="7" s="1"/>
  <c r="J118" i="7"/>
  <c r="K118" i="7" s="1"/>
  <c r="J127" i="7"/>
  <c r="K127" i="7" s="1"/>
  <c r="J229" i="7"/>
  <c r="K229" i="7" s="1"/>
  <c r="J115" i="7"/>
  <c r="K115" i="7" s="1"/>
  <c r="J124" i="7"/>
  <c r="K124" i="7" s="1"/>
  <c r="J189" i="7"/>
  <c r="K189" i="7" s="1"/>
  <c r="J88" i="7"/>
  <c r="K88" i="7" s="1"/>
  <c r="J62" i="7"/>
  <c r="K62" i="7" s="1"/>
  <c r="J287" i="7"/>
  <c r="K287" i="7" s="1"/>
  <c r="J35" i="7"/>
  <c r="K35" i="7" s="1"/>
  <c r="J137" i="7"/>
  <c r="K137" i="7" s="1"/>
  <c r="J98" i="7"/>
  <c r="K98" i="7" s="1"/>
  <c r="J201" i="7"/>
  <c r="K201" i="7" s="1"/>
  <c r="J185" i="7"/>
  <c r="K185" i="7" s="1"/>
  <c r="J154" i="7"/>
  <c r="K154" i="7" s="1"/>
  <c r="J9" i="7"/>
  <c r="K9" i="7" s="1"/>
  <c r="J33" i="7"/>
  <c r="K33" i="7" s="1"/>
  <c r="J196" i="7"/>
  <c r="K196" i="7" s="1"/>
  <c r="J28" i="7"/>
  <c r="K28" i="7" s="1"/>
  <c r="J233" i="7"/>
  <c r="K233" i="7" s="1"/>
  <c r="J224" i="7"/>
  <c r="K224" i="7" s="1"/>
  <c r="J220" i="7"/>
  <c r="K220" i="7" s="1"/>
  <c r="J45" i="7"/>
  <c r="K45" i="7" s="1"/>
  <c r="J242" i="7"/>
  <c r="K242" i="7" s="1"/>
  <c r="J68" i="7"/>
  <c r="K68" i="7" s="1"/>
  <c r="J17" i="7"/>
  <c r="K17" i="7" s="1"/>
  <c r="J112" i="7"/>
  <c r="K112" i="7" s="1"/>
  <c r="J64" i="7"/>
  <c r="K64" i="7" s="1"/>
  <c r="J232" i="7"/>
  <c r="K232" i="7" s="1"/>
  <c r="J180" i="7"/>
  <c r="K180" i="7" s="1"/>
  <c r="J134" i="7"/>
  <c r="K134" i="7" s="1"/>
  <c r="J59" i="7"/>
  <c r="K59" i="7" s="1"/>
  <c r="J163" i="7"/>
  <c r="K163" i="7" s="1"/>
  <c r="J168" i="7"/>
  <c r="K168" i="7" s="1"/>
  <c r="J219" i="7"/>
  <c r="K219" i="7" s="1"/>
  <c r="J265" i="7"/>
  <c r="K265" i="7" s="1"/>
  <c r="J4" i="7"/>
  <c r="K4" i="7" s="1"/>
  <c r="J281" i="7"/>
  <c r="K281" i="7" s="1"/>
  <c r="J171" i="7"/>
  <c r="K171" i="7" s="1"/>
  <c r="J83" i="7"/>
  <c r="K83" i="7" s="1"/>
  <c r="J186" i="7"/>
  <c r="K186" i="7" s="1"/>
  <c r="J72" i="7"/>
  <c r="K72" i="7" s="1"/>
  <c r="J26" i="7"/>
  <c r="K26" i="7" s="1"/>
  <c r="J95" i="7"/>
  <c r="K95" i="7" s="1"/>
  <c r="J42" i="7"/>
  <c r="K42" i="7" s="1"/>
  <c r="J60" i="7"/>
  <c r="K60" i="7" s="1"/>
  <c r="J270" i="7"/>
  <c r="K270" i="7" s="1"/>
  <c r="J153" i="7"/>
  <c r="K153" i="7" s="1"/>
  <c r="J140" i="7"/>
  <c r="K140" i="7" s="1"/>
  <c r="J179" i="7"/>
  <c r="K179" i="7" s="1"/>
  <c r="J102" i="7"/>
  <c r="K102" i="7" s="1"/>
  <c r="J295" i="7"/>
  <c r="K295" i="7" s="1"/>
  <c r="J151" i="7"/>
  <c r="K151" i="7" s="1"/>
  <c r="J290" i="7"/>
  <c r="K290" i="7" s="1"/>
  <c r="J27" i="7"/>
  <c r="K27" i="7" s="1"/>
  <c r="J97" i="7"/>
  <c r="K97" i="7" s="1"/>
  <c r="J92" i="7"/>
  <c r="K92" i="7" s="1"/>
  <c r="J211" i="7"/>
  <c r="K211" i="7" s="1"/>
  <c r="J78" i="7"/>
  <c r="K78" i="7" s="1"/>
  <c r="J212" i="7"/>
  <c r="K212" i="7" s="1"/>
  <c r="J53" i="7"/>
  <c r="K53" i="7" s="1"/>
  <c r="J282" i="7"/>
  <c r="K282" i="7" s="1"/>
  <c r="J248" i="7"/>
  <c r="K248" i="7" s="1"/>
  <c r="J304" i="7"/>
  <c r="K304" i="7" s="1"/>
  <c r="J231" i="7"/>
  <c r="K231" i="7" s="1"/>
  <c r="J207" i="7"/>
  <c r="K207" i="7" s="1"/>
  <c r="J133" i="7"/>
  <c r="K133" i="7" s="1"/>
  <c r="J75" i="7"/>
  <c r="K75" i="7" s="1"/>
  <c r="J272" i="7"/>
  <c r="K272" i="7" s="1"/>
  <c r="J182" i="7"/>
  <c r="K182" i="7" s="1"/>
  <c r="J257" i="7"/>
  <c r="K257" i="7" s="1"/>
  <c r="J254" i="7"/>
  <c r="K254" i="7" s="1"/>
  <c r="J181" i="7"/>
  <c r="K181" i="7" s="1"/>
  <c r="J50" i="7"/>
  <c r="K50" i="7" s="1"/>
  <c r="J285" i="7"/>
  <c r="K285" i="7" s="1"/>
  <c r="J110" i="7"/>
  <c r="K110" i="7" s="1"/>
  <c r="J96" i="7"/>
  <c r="K96" i="7" s="1"/>
  <c r="J294" i="7"/>
  <c r="K294" i="7" s="1"/>
  <c r="J173" i="7"/>
  <c r="K173" i="7" s="1"/>
  <c r="J215" i="7"/>
  <c r="K215" i="7" s="1"/>
  <c r="J108" i="7"/>
  <c r="K108" i="7" s="1"/>
  <c r="J138" i="7"/>
  <c r="K138" i="7" s="1"/>
  <c r="J235" i="7"/>
  <c r="K235" i="7" s="1"/>
  <c r="E4" i="4"/>
  <c r="E3" i="4"/>
  <c r="D4" i="4"/>
  <c r="D5" i="4"/>
  <c r="D6" i="4"/>
  <c r="D3" i="4"/>
  <c r="C4" i="4"/>
  <c r="C5" i="4"/>
  <c r="C6" i="4"/>
  <c r="C3" i="4"/>
  <c r="K3" i="4"/>
  <c r="K4" i="4"/>
  <c r="K5" i="4"/>
  <c r="K6" i="4"/>
  <c r="J3" i="4"/>
  <c r="J4" i="4"/>
  <c r="J5" i="4"/>
  <c r="J6" i="4"/>
  <c r="I4" i="4"/>
  <c r="I5" i="4"/>
  <c r="I6" i="4"/>
  <c r="I3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2" i="3"/>
</calcChain>
</file>

<file path=xl/sharedStrings.xml><?xml version="1.0" encoding="utf-8"?>
<sst xmlns="http://schemas.openxmlformats.org/spreadsheetml/2006/main" count="2545" uniqueCount="213">
  <si>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</si>
  <si>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</si>
  <si>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</si>
  <si>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</si>
  <si>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</si>
  <si>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</si>
  <si>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</si>
  <si>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</si>
  <si>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</si>
  <si>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</si>
  <si>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</si>
  <si>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</si>
  <si>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</si>
  <si>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</si>
  <si>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</si>
  <si>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</si>
  <si>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</si>
  <si>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</si>
  <si>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</si>
  <si>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</si>
  <si>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</si>
  <si>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</si>
  <si>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</si>
  <si>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</si>
  <si>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</si>
  <si>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</si>
  <si>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</si>
  <si>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</si>
  <si>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</si>
  <si>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</si>
  <si>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</si>
  <si>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</si>
  <si>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</si>
  <si>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</si>
  <si>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</si>
  <si>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</si>
  <si>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</si>
  <si>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</si>
  <si>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</si>
  <si>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</si>
  <si>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</si>
  <si>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</si>
  <si>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</si>
  <si>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</si>
  <si>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</si>
  <si>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</si>
  <si>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</si>
  <si>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</si>
  <si>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</si>
  <si>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</si>
  <si>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</si>
  <si>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</si>
  <si>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</si>
  <si>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</si>
  <si>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</si>
  <si>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</si>
  <si>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</si>
  <si>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</si>
  <si>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</si>
  <si>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</si>
  <si>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</si>
  <si>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</si>
  <si>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</si>
  <si>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</si>
  <si>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</si>
  <si>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</si>
  <si>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</si>
  <si>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</si>
  <si>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</si>
  <si>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</si>
  <si>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</si>
  <si>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</si>
  <si>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</si>
  <si>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</si>
  <si>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</si>
  <si>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</si>
  <si>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</si>
  <si>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</si>
  <si>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</si>
  <si>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</si>
  <si>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</si>
  <si>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</si>
  <si>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</si>
  <si>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</si>
  <si>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</si>
  <si>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</si>
  <si>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</si>
  <si>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</si>
  <si>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</si>
  <si>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</si>
  <si>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</si>
  <si>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</si>
  <si>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</si>
  <si>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</si>
  <si>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</si>
  <si>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</si>
  <si>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</si>
  <si>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</si>
  <si>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</si>
  <si>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</si>
  <si>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</si>
  <si>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</si>
  <si>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</si>
  <si>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</si>
  <si>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</si>
  <si>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</si>
  <si>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</si>
  <si>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</si>
  <si>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</si>
  <si>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</si>
  <si>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</si>
  <si>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</si>
  <si>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</si>
  <si>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</si>
  <si>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</si>
  <si>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</si>
  <si>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</si>
  <si>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</si>
  <si>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year</t>
  </si>
  <si>
    <t>month and year</t>
  </si>
  <si>
    <t>Region</t>
  </si>
  <si>
    <t>Region_North</t>
  </si>
  <si>
    <t>Region_South</t>
  </si>
  <si>
    <t>Region_East</t>
  </si>
  <si>
    <t>West(reference)</t>
  </si>
  <si>
    <t>Store Type</t>
  </si>
  <si>
    <t>Store_Mall</t>
  </si>
  <si>
    <t>Store_HighStreet</t>
  </si>
  <si>
    <t xml:space="preserve">Residential </t>
  </si>
  <si>
    <t>Store_Residential</t>
  </si>
  <si>
    <t>Airport (reference)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</si>
  <si>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</si>
  <si>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</si>
  <si>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</si>
  <si>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</si>
  <si>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</si>
  <si>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</si>
  <si>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</si>
  <si>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</si>
  <si>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</si>
  <si>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</si>
  <si>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</si>
  <si>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</si>
  <si>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</si>
  <si>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</si>
  <si>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</si>
  <si>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</si>
  <si>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</si>
  <si>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</si>
  <si>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</si>
  <si>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</si>
  <si>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</si>
  <si>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</si>
  <si>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</si>
  <si>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</si>
  <si>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1. marketing_spend</t>
  </si>
  <si>
    <t>2. footfall</t>
  </si>
  <si>
    <t>3. avg_discount_pct</t>
  </si>
  <si>
    <t>4. inventory_availability_pct</t>
  </si>
  <si>
    <t>5. customer_rating</t>
  </si>
  <si>
    <t>MODELS</t>
  </si>
  <si>
    <t>1. Regression equation</t>
  </si>
  <si>
    <t>2. R-squared</t>
  </si>
  <si>
    <t>3. Coefficient</t>
  </si>
  <si>
    <t>4. P-value</t>
  </si>
  <si>
    <t>5. Business interpretation</t>
  </si>
  <si>
    <t>6. Whether the variable appears useful</t>
  </si>
  <si>
    <t>560777.35 + 2.13 × Marketing Spend</t>
  </si>
  <si>
    <t>0.1672 (16.72%)</t>
  </si>
  <si>
    <t>2.48 × 10⁻¹⁴</t>
  </si>
  <si>
    <t>marketing spend has a positive and statistically significant relationship with monthly sales.</t>
  </si>
  <si>
    <t>Yes, marketing spend appears to be a useful predictor of monthly sales.</t>
  </si>
  <si>
    <t>446410.5829 + 35.3 × Footfall</t>
  </si>
  <si>
    <t>0.736285340003311 (73.6%)</t>
  </si>
  <si>
    <t>The regression analysis shows a strong positive relationship between footfall and monthly sales.</t>
  </si>
  <si>
    <t>Yes, footfall appears to be a highly useful predictor of monthly sales.</t>
  </si>
  <si>
    <t>697835.6296 + -138730.45 × avg_discount_pct</t>
  </si>
  <si>
    <t>0.0082905030244003 (0.8%)</t>
  </si>
  <si>
    <t>484814.26 + 2217.83 × inventory_availability_pct</t>
  </si>
  <si>
    <t>0.0131150159644059 (1.3%)</t>
  </si>
  <si>
    <t>703414.65 + (-5117.97) × customer_rating</t>
  </si>
  <si>
    <t>0.000691962610258307 (0.06%)</t>
  </si>
  <si>
    <t>indicates a negative relationship between average discount percentage and monthly sales, with a coefficient of -138,730.45.</t>
  </si>
  <si>
    <t>No. Average discount percentage does not appear to be a useful predictor of monthly sales in this simple regression model.</t>
  </si>
  <si>
    <t>The regression analysis shows a positive relationship between inventory availability percentage and monthly sales.</t>
  </si>
  <si>
    <t>Yes, but only as part of a multiple regression model. It is statistically significant (p &lt; 0.05) but has low explanatory power (R² = 1.3%).</t>
  </si>
  <si>
    <t>Customer rating has a very weak negative relationship with monthly sales, but the relationship is not statistically significant and explains only 0.06% of the variation in sales.</t>
  </si>
  <si>
    <t>No. The variable is not statistically significant (p &gt; 0.05) and has negligible explanatory power (R² = 0.06%), making it an unsuitable standalone predictor of monthly sales.</t>
  </si>
  <si>
    <t>Predicted Sales</t>
  </si>
  <si>
    <t>Top 5 stores with the largest positive residuals:</t>
  </si>
  <si>
    <t>Top 5 stores with the largest negative residuals:</t>
  </si>
  <si>
    <t>Model</t>
  </si>
  <si>
    <t>Independent Variables</t>
  </si>
  <si>
    <t>R²</t>
  </si>
  <si>
    <t>Significant Variables</t>
  </si>
  <si>
    <t>Key Finding</t>
  </si>
  <si>
    <t>Recommended for Prediction?</t>
  </si>
  <si>
    <t>Simple Regression 1</t>
  </si>
  <si>
    <t>Marketing Spend</t>
  </si>
  <si>
    <t>Positive relationship with sales</t>
  </si>
  <si>
    <t>Yes</t>
  </si>
  <si>
    <t>Simple Regression 2</t>
  </si>
  <si>
    <t>Footfall</t>
  </si>
  <si>
    <t>Strongest single predictor</t>
  </si>
  <si>
    <t>Simple Regression 3</t>
  </si>
  <si>
    <t>Inventory Availability</t>
  </si>
  <si>
    <t>Significant but weak explanatory power</t>
  </si>
  <si>
    <t>Limited</t>
  </si>
  <si>
    <t>Multiple Regression</t>
  </si>
  <si>
    <t>Marketing Spend, Footfall, Inventory Availability, Region Dummies</t>
  </si>
  <si>
    <t>Marketing Spend, Footfall, Inventory Availability, Region_East</t>
  </si>
  <si>
    <t>Best overall predictive model</t>
  </si>
  <si>
    <t>Yes (Best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</si>
</sst>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b/>
      <sz val="14"/>
      <name val="Carlito"/>
    </font>
    <font>
      <b/>
      <sz val="20"/>
      <name val="Carlito"/>
    </font>
    <font>
      <b/>
      <sz val="11"/>
      <color theme="3" tint="9.9978637043366805E-2"/>
      <name val="Carlito"/>
    </font>
    <font>
      <sz val="11"/>
      <color theme="3" tint="9.9978637043366805E-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582084</xdr:colOff>
      <xdr:row>6</xdr:row>
      <xdr:rowOff>84666</xdr:rowOff>
    </xdr:from>
    <xdr:to>
      <xdr:col>10</xdr:col>
      <xdr:colOff>391584</xdr:colOff>
      <xdr:row>6</xdr:row>
      <xdr:rowOff>84666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B2DFA57-5A3E-6D70-F42D-F8B40FEEEA91}"/>
            </a:ext>
          </a:extLst>
        </xdr:cNvPr>
        <xdr:cNvCxnSpPr/>
      </xdr:nvCxnSpPr>
      <xdr:spPr>
        <a:xfrm>
          <a:off x="7672917" y="1375833"/>
          <a:ext cx="352425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649818</xdr:colOff>
      <xdr:row>29</xdr:row>
      <xdr:rowOff>120649</xdr:rowOff>
    </xdr:from>
    <xdr:to>
      <xdr:col>10</xdr:col>
      <xdr:colOff>459318</xdr:colOff>
      <xdr:row>29</xdr:row>
      <xdr:rowOff>120649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DD5AAD2-2485-4B49-A5C1-70B2EA52AB7D}"/>
            </a:ext>
          </a:extLst>
        </xdr:cNvPr>
        <xdr:cNvCxnSpPr/>
      </xdr:nvCxnSpPr>
      <xdr:spPr>
        <a:xfrm>
          <a:off x="7740651" y="5666316"/>
          <a:ext cx="352425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685801</xdr:colOff>
      <xdr:row>55</xdr:row>
      <xdr:rowOff>93133</xdr:rowOff>
    </xdr:from>
    <xdr:to>
      <xdr:col>10</xdr:col>
      <xdr:colOff>495301</xdr:colOff>
      <xdr:row>55</xdr:row>
      <xdr:rowOff>93133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4B47D2C-0F93-478C-84E0-6F9F99B6924D}"/>
            </a:ext>
          </a:extLst>
        </xdr:cNvPr>
        <xdr:cNvCxnSpPr/>
      </xdr:nvCxnSpPr>
      <xdr:spPr>
        <a:xfrm>
          <a:off x="7776634" y="10443633"/>
          <a:ext cx="352425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647701</xdr:colOff>
      <xdr:row>76</xdr:row>
      <xdr:rowOff>107950</xdr:rowOff>
    </xdr:from>
    <xdr:to>
      <xdr:col>10</xdr:col>
      <xdr:colOff>457201</xdr:colOff>
      <xdr:row>76</xdr:row>
      <xdr:rowOff>107950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B750AE0-6FF6-43B3-A210-14FE7E6045EF}"/>
            </a:ext>
          </a:extLst>
        </xdr:cNvPr>
        <xdr:cNvCxnSpPr/>
      </xdr:nvCxnSpPr>
      <xdr:spPr>
        <a:xfrm>
          <a:off x="7738534" y="14353117"/>
          <a:ext cx="352425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683684</xdr:colOff>
      <xdr:row>100</xdr:row>
      <xdr:rowOff>112184</xdr:rowOff>
    </xdr:from>
    <xdr:to>
      <xdr:col>10</xdr:col>
      <xdr:colOff>493184</xdr:colOff>
      <xdr:row>100</xdr:row>
      <xdr:rowOff>112184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B23F5C0-1F32-407C-A9DB-289CF042663B}"/>
            </a:ext>
          </a:extLst>
        </xdr:cNvPr>
        <xdr:cNvCxnSpPr/>
      </xdr:nvCxnSpPr>
      <xdr:spPr>
        <a:xfrm>
          <a:off x="7774517" y="18791767"/>
          <a:ext cx="352425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295275</xdr:colOff>
      <xdr:row>0</xdr:row>
      <xdr:rowOff>161925</xdr:rowOff>
    </xdr:from>
    <xdr:to>
      <xdr:col>17</xdr:col>
      <xdr:colOff>352425</xdr:colOff>
      <xdr:row>21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1265C5-F4D9-26D5-BE15-C2799984BAAE}"/>
            </a:ext>
          </a:extLst>
        </xdr:cNvPr>
        <xdr:cNvSpPr/>
      </xdr:nvSpPr>
      <xdr:spPr>
        <a:xfrm>
          <a:off x="16049625" y="161925"/>
          <a:ext cx="3914775" cy="4000500"/>
        </a:xfrm>
        <a:prstGeom prst="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E1" workbookViewId="0">
      <selection activeCell="L35" sqref="L35 J73 L87 J100 L135 L138 J164 L197 L229 J233 J250 J263 L313 L315"/>
    </sheetView>
  </sheetViews>
  <sheetFormatPr defaultRowHeight="14.25"/>
  <cols>
    <col min="1" max="4" width="16" customWidth="1"/>
    <col min="5" max="5" width="16" style="14" customWidth="1"/>
    <col min="6" max="12" width="16" customWidth="1"/>
    <col min="13" max="13" width="16" style="14" customWidth="1"/>
    <col min="14" max="14" width="16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3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 s="14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 s="14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 s="14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 s="14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 s="1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 s="1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 s="14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 s="14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 s="14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 s="14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 s="14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 s="14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 s="14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 s="14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 s="14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 s="14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 s="14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 s="14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 s="14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 s="14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 s="14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 s="14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 s="14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 s="14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 s="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 s="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 s="14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 s="14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 s="14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 s="14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 s="14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 s="14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 s="14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 s="14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 s="14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 s="14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 s="14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 s="14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 s="14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 s="14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 s="14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 s="14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 s="14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 s="14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 s="1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 s="1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 s="14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 s="14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 s="14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 s="14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 s="14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 s="14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 s="14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 s="14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 s="14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 s="14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 s="14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 s="14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 s="14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 s="14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 s="14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 s="14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 s="14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 s="14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 s="1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 s="1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 s="14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 s="14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 s="14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 s="14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 s="14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 s="14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 s="14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 s="14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 s="14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 s="14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 s="14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 s="14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 s="14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 s="14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 s="14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 s="14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 s="14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 s="14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 s="1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 s="1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 s="14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 s="14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 s="14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 s="14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 s="14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 s="14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 s="14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 s="14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 s="14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 s="14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 s="14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 s="14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 s="14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 s="14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 s="14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 s="14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 s="14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 s="14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 s="1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 s="1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 s="14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 s="14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 s="14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 s="14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 s="14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 s="14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 s="14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 s="14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 s="14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 s="14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 s="14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 s="14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 s="14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 s="14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 s="14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 s="14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 s="14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 s="14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 s="1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 s="1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 s="14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 s="14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 s="14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 s="14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 s="14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 s="14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 s="14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 s="14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 s="14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 s="14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 s="14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 s="14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 s="14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 s="14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 s="14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 s="14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 s="14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 s="14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 s="1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 s="1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 s="14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 s="14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 s="14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 s="14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 s="14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 s="14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 s="14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 s="14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 s="14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 s="14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 s="14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 s="14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 s="14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 s="14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 s="14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 s="14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 s="14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 s="14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 s="1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 s="1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 s="14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 s="14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 s="14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 s="14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 s="14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 s="14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 s="14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 s="14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 s="14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 s="14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 s="14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 s="14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 s="14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 s="14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 s="14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 s="14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 s="14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 s="14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 s="1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 s="1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 s="14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 s="14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 s="14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 s="14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 s="14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 s="14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 s="14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 s="14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 s="14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 s="14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 s="14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 s="14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 s="14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 s="14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 s="14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 s="14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 s="14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 s="14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 s="1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 s="1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 s="14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 s="14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 s="14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 s="14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 s="14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 s="14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 s="14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 s="14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 s="14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 s="14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 s="14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 s="14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 s="14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 s="14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 s="14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 s="14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 s="14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 s="14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 s="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 s="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 s="14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 s="14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 s="14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 s="14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 s="14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 s="14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 s="14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 s="14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 s="14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 s="14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 s="14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 s="14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 s="14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 s="14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 s="14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 s="14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 s="14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 s="14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 s="1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 s="1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 s="14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 s="14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 s="14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 s="14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 s="14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 s="14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 s="14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 s="14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 s="14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 s="14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 s="14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 s="14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 s="14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 s="14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 s="14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 s="14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 s="14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 s="14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 s="1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 s="1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 s="14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 s="14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 s="14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 s="14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 s="14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 s="14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 s="14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 s="14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 s="14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 s="14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 s="14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 s="14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 s="14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 s="14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 s="14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 s="14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 s="14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 s="14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 s="1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 s="1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 s="14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 s="14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 s="14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 s="14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 s="14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 s="14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 s="14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 s="14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 s="14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 s="14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 s="14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 s="14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 s="14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 s="14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 s="14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 s="14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 s="14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 s="14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 s="1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 s="1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 s="14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 s="14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 s="14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 s="14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 s="14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 s="14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 s="14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 s="14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 s="14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 s="14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 s="14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 s="14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 s="14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 s="14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 s="14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 s="14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 s="14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 s="14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 s="1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 s="1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 s="14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 s="14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 s="14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 s="14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 s="14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 s="14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 s="14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 s="14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 s="14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 s="14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 s="14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 s="14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 s="14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 s="14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 s="14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 s="14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 s="14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 s="14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 s="1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 s="1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 s="14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 s="14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 s="14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 s="14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 s="14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 s="14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 s="14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 s="14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 s="14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 s="14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 s="14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 s="14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 s="14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 s="14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 s="14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 s="14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 s="14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 s="14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 s="1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 s="1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 s="14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 s="14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 s="14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 s="14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 s="14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 s="14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 s="14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 s="14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 s="14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 s="14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 s="14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 s="14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 s="14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 s="14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 s="14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 s="14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 s="14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 s="14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 s="1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 s="1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 s="14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 s="14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 s="14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 s="14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 s="14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 s="14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 s="14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 s="14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 s="14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 s="14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 s="14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 s="14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 s="14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 s="14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 s="14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 s="14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 s="14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 s="14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 s="1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 s="1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 s="14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 s="14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 s="14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 s="14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 s="14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 s="14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 s="14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 s="14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 s="14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 s="14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 s="14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 s="14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 s="14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 s="14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 s="14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 s="14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 s="14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 s="14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 s="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 s="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 s="14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 s="14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 s="14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 s="14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 s="14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 s="14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 s="14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 s="14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 s="14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 s="14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 s="14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 s="14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 s="14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 s="14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 s="14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 s="14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 s="14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 s="14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 s="1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 s="1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 s="14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 s="14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 s="14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 s="14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 s="14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 s="14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 s="14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 s="14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 s="14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 s="14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 s="14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 s="14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 s="14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 s="14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 s="14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 s="14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 s="14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 s="14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 s="1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 s="1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 s="14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 s="14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 s="14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 s="14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 s="14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 s="14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 s="14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 s="14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 s="14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 s="14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 s="14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 s="14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 s="14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 s="14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 s="14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 s="14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 s="14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 s="14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 s="1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 s="1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 s="14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 s="14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 s="14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 s="14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 s="14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 s="14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 s="14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 s="14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 s="14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 s="14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 s="14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 s="14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 s="14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 s="14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 s="14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 s="14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 s="14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 s="14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 s="1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 s="1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 s="14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 s="14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 s="14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 s="14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 s="14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 s="14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 s="14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 s="14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 s="14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 s="14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 s="14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 s="14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 s="14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 s="14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 s="14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 s="14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 s="14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 s="14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 s="1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 s="1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 s="14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 s="14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 s="14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 s="14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 s="14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 s="14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 s="14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 s="14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 s="14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 s="14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 s="14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 s="14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 s="14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 s="14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 s="14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 s="14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 s="14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 s="14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 s="1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 s="1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 s="14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 s="14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 s="14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 s="14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 s="14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 s="14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 s="14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 s="14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 s="14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 s="14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 s="14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 s="14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 s="14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 s="14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 s="14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 s="14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 s="14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 s="14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 s="1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 s="1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 s="14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 s="14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 s="14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 s="14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 s="14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 s="14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 s="14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 s="14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 s="14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 s="14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 s="14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 s="14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 s="14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 s="14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 s="14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 s="14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 s="14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 s="14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 s="1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 s="1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 s="14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 s="14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 s="14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 s="14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 s="14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 s="14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 s="14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 s="14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 s="14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 s="14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 s="14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 s="14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 s="14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 s="14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 s="14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 s="14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 s="14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 s="14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 s="1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 s="1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 s="14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 s="14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 s="14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 s="14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 s="14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 s="14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 s="14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 s="14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 s="14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 s="14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 s="14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 s="14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 s="14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 s="14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 s="14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 s="14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 s="14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 s="14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 s="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 s="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 s="14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 s="14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 s="14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 s="14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 s="14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 s="14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 s="14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 s="14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 s="14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 s="14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 s="14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 s="14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 s="14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 s="14">
        <v>559660.84</v>
      </c>
      <c r="N321">
        <v>71443.61</v>
      </c>
    </row>
  </sheetData>
  <autoFilter ref="A1:N3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0D88-C33D-4038-B579-3D1C49768543}">
  <dimension ref="A1:P307"/>
  <sheetViews>
    <sheetView workbookViewId="0">
      <selection sqref="A1:A1048576"/>
    </sheetView>
  </sheetViews>
  <sheetFormatPr defaultRowHeight="14.25"/>
  <cols>
    <col min="1" max="6" width="16" style="9" customWidth="1"/>
    <col min="7" max="8" width="16" style="21" customWidth="1"/>
    <col min="9" max="9" width="20.625" style="21" bestFit="1" customWidth="1"/>
    <col min="10" max="10" width="16" style="21" customWidth="1"/>
    <col min="11" max="11" width="27.625" style="21" bestFit="1" customWidth="1"/>
    <col min="12" max="12" width="26.75" style="21" bestFit="1" customWidth="1"/>
    <col min="13" max="16" width="16" style="21" customWidth="1"/>
  </cols>
  <sheetData>
    <row r="1" spans="1:16" ht="27.95" customHeight="1">
      <c r="A1" s="1" t="s">
        <v>0</v>
      </c>
      <c r="B1" s="1" t="s">
        <v>118</v>
      </c>
      <c r="C1" s="1" t="s">
        <v>1</v>
      </c>
      <c r="D1" s="1" t="s">
        <v>119</v>
      </c>
      <c r="E1" s="1" t="s">
        <v>2</v>
      </c>
      <c r="F1" s="1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</row>
    <row r="2" spans="1:16">
      <c r="A2" s="9" t="s">
        <v>14</v>
      </c>
      <c r="B2" s="9">
        <f>YEAR(D2)</f>
        <v>2025</v>
      </c>
      <c r="C2" s="9">
        <f>MONTH(D2)</f>
        <v>1</v>
      </c>
      <c r="D2" s="10">
        <v>45658</v>
      </c>
      <c r="E2" s="9" t="s">
        <v>15</v>
      </c>
      <c r="F2" s="9" t="s">
        <v>16</v>
      </c>
      <c r="G2" s="21">
        <v>70389.11</v>
      </c>
      <c r="H2" s="21">
        <v>8302</v>
      </c>
      <c r="I2" s="21">
        <v>4.2000000000000003E-2</v>
      </c>
      <c r="J2" s="21">
        <v>17</v>
      </c>
      <c r="K2" s="21">
        <v>75</v>
      </c>
      <c r="L2" s="21">
        <v>5.28</v>
      </c>
      <c r="M2" s="21">
        <v>1</v>
      </c>
      <c r="N2" s="21">
        <v>3.1</v>
      </c>
      <c r="O2" s="21">
        <v>658832.62</v>
      </c>
      <c r="P2" s="21">
        <v>84349.93</v>
      </c>
    </row>
    <row r="3" spans="1:16">
      <c r="A3" s="9" t="s">
        <v>14</v>
      </c>
      <c r="B3" s="9">
        <f t="shared" ref="B3:B65" si="0">YEAR(D3)</f>
        <v>2025</v>
      </c>
      <c r="C3" s="9">
        <f t="shared" ref="C3:C65" si="1">MONTH(D3)</f>
        <v>2</v>
      </c>
      <c r="D3" s="10">
        <v>45689</v>
      </c>
      <c r="E3" s="9" t="s">
        <v>15</v>
      </c>
      <c r="F3" s="9" t="s">
        <v>16</v>
      </c>
      <c r="G3" s="21">
        <v>43827.89</v>
      </c>
      <c r="H3" s="21">
        <v>8487</v>
      </c>
      <c r="I3" s="21">
        <v>0.16800000000000001</v>
      </c>
      <c r="J3" s="21">
        <v>23</v>
      </c>
      <c r="K3" s="21">
        <v>84.4</v>
      </c>
      <c r="L3" s="21">
        <v>4.3099999999999996</v>
      </c>
      <c r="M3" s="21">
        <v>0</v>
      </c>
      <c r="N3" s="21">
        <v>2.8</v>
      </c>
      <c r="O3" s="21">
        <v>634436</v>
      </c>
      <c r="P3" s="21">
        <v>106130.54</v>
      </c>
    </row>
    <row r="4" spans="1:16">
      <c r="A4" s="9" t="s">
        <v>14</v>
      </c>
      <c r="B4" s="9">
        <f t="shared" si="0"/>
        <v>2025</v>
      </c>
      <c r="C4" s="9">
        <f t="shared" si="1"/>
        <v>3</v>
      </c>
      <c r="D4" s="10">
        <v>45717</v>
      </c>
      <c r="E4" s="9" t="s">
        <v>15</v>
      </c>
      <c r="F4" s="9" t="s">
        <v>16</v>
      </c>
      <c r="G4" s="21">
        <v>59921.75</v>
      </c>
      <c r="H4" s="21">
        <v>9113</v>
      </c>
      <c r="I4" s="21">
        <v>0.13300000000000001</v>
      </c>
      <c r="J4" s="21">
        <v>20</v>
      </c>
      <c r="K4" s="21">
        <v>88</v>
      </c>
      <c r="L4" s="21">
        <v>12</v>
      </c>
      <c r="M4" s="21">
        <v>0</v>
      </c>
      <c r="N4" s="21">
        <v>3.2</v>
      </c>
      <c r="O4" s="21">
        <v>678722.06</v>
      </c>
      <c r="P4" s="21">
        <v>101883.86</v>
      </c>
    </row>
    <row r="5" spans="1:16">
      <c r="A5" s="9" t="s">
        <v>14</v>
      </c>
      <c r="B5" s="9">
        <f t="shared" si="0"/>
        <v>2025</v>
      </c>
      <c r="C5" s="9">
        <f t="shared" si="1"/>
        <v>4</v>
      </c>
      <c r="D5" s="10">
        <v>45748</v>
      </c>
      <c r="E5" s="9" t="s">
        <v>15</v>
      </c>
      <c r="F5" s="9" t="s">
        <v>16</v>
      </c>
      <c r="G5" s="21">
        <v>56856.63</v>
      </c>
      <c r="H5" s="21">
        <v>9431</v>
      </c>
      <c r="I5" s="21">
        <v>0.14199999999999999</v>
      </c>
      <c r="J5" s="21">
        <v>23</v>
      </c>
      <c r="K5" s="21">
        <v>86.9</v>
      </c>
      <c r="L5" s="21">
        <v>4.97</v>
      </c>
      <c r="M5" s="21">
        <v>0</v>
      </c>
      <c r="N5" s="21">
        <v>3.4</v>
      </c>
      <c r="O5" s="21">
        <v>658920.30000000005</v>
      </c>
      <c r="P5" s="21">
        <v>97910.37</v>
      </c>
    </row>
    <row r="6" spans="1:16">
      <c r="A6" s="9" t="s">
        <v>17</v>
      </c>
      <c r="B6" s="9">
        <f t="shared" si="0"/>
        <v>2025</v>
      </c>
      <c r="C6" s="9">
        <f t="shared" si="1"/>
        <v>1</v>
      </c>
      <c r="D6" s="10">
        <v>45658</v>
      </c>
      <c r="E6" s="9" t="s">
        <v>15</v>
      </c>
      <c r="F6" s="9" t="s">
        <v>18</v>
      </c>
      <c r="G6" s="21">
        <v>48412.639999999999</v>
      </c>
      <c r="H6" s="21">
        <v>9545</v>
      </c>
      <c r="I6" s="21">
        <v>0.23100000000000001</v>
      </c>
      <c r="J6" s="21">
        <v>21</v>
      </c>
      <c r="K6" s="21">
        <v>97.6</v>
      </c>
      <c r="L6" s="21">
        <v>6.94</v>
      </c>
      <c r="M6" s="21">
        <v>1</v>
      </c>
      <c r="N6" s="21">
        <v>4.2</v>
      </c>
      <c r="O6" s="21">
        <v>741341.44</v>
      </c>
      <c r="P6" s="21">
        <v>119208.17</v>
      </c>
    </row>
    <row r="7" spans="1:16">
      <c r="A7" s="9" t="s">
        <v>17</v>
      </c>
      <c r="B7" s="9">
        <f t="shared" si="0"/>
        <v>2025</v>
      </c>
      <c r="C7" s="9">
        <f t="shared" si="1"/>
        <v>2</v>
      </c>
      <c r="D7" s="10">
        <v>45689</v>
      </c>
      <c r="E7" s="9" t="s">
        <v>15</v>
      </c>
      <c r="F7" s="9" t="s">
        <v>18</v>
      </c>
      <c r="G7" s="21">
        <v>64811.21</v>
      </c>
      <c r="H7" s="21">
        <v>9792</v>
      </c>
      <c r="I7" s="21">
        <v>0.112</v>
      </c>
      <c r="J7" s="21">
        <v>20</v>
      </c>
      <c r="K7" s="21">
        <v>84.2</v>
      </c>
      <c r="L7" s="21">
        <v>2.88</v>
      </c>
      <c r="M7" s="21">
        <v>0</v>
      </c>
      <c r="N7" s="21">
        <v>4.2</v>
      </c>
      <c r="O7" s="21">
        <v>761835.34</v>
      </c>
      <c r="P7" s="21">
        <v>149602.23000000001</v>
      </c>
    </row>
    <row r="8" spans="1:16">
      <c r="A8" s="9" t="s">
        <v>17</v>
      </c>
      <c r="B8" s="9">
        <f t="shared" si="0"/>
        <v>2025</v>
      </c>
      <c r="C8" s="9">
        <f t="shared" si="1"/>
        <v>3</v>
      </c>
      <c r="D8" s="10">
        <v>45717</v>
      </c>
      <c r="E8" s="9" t="s">
        <v>15</v>
      </c>
      <c r="F8" s="9" t="s">
        <v>18</v>
      </c>
      <c r="G8" s="21">
        <v>46213.45</v>
      </c>
      <c r="H8" s="21">
        <v>10616</v>
      </c>
      <c r="I8" s="21">
        <v>0.122</v>
      </c>
      <c r="J8" s="21">
        <v>22</v>
      </c>
      <c r="K8" s="21">
        <v>85.2</v>
      </c>
      <c r="L8" s="21">
        <v>0.2</v>
      </c>
      <c r="M8" s="21">
        <v>1</v>
      </c>
      <c r="N8" s="21">
        <v>4.0999999999999996</v>
      </c>
      <c r="O8" s="21">
        <v>806615.54</v>
      </c>
      <c r="P8" s="21">
        <v>131364.62</v>
      </c>
    </row>
    <row r="9" spans="1:16">
      <c r="A9" s="9" t="s">
        <v>17</v>
      </c>
      <c r="B9" s="9">
        <f t="shared" si="0"/>
        <v>2025</v>
      </c>
      <c r="C9" s="9">
        <f t="shared" si="1"/>
        <v>4</v>
      </c>
      <c r="D9" s="10">
        <v>45748</v>
      </c>
      <c r="E9" s="9" t="s">
        <v>15</v>
      </c>
      <c r="F9" s="9" t="s">
        <v>18</v>
      </c>
      <c r="G9" s="21">
        <v>68148.52</v>
      </c>
      <c r="H9" s="21">
        <v>8567</v>
      </c>
      <c r="I9" s="21">
        <v>0.127</v>
      </c>
      <c r="J9" s="21">
        <v>23</v>
      </c>
      <c r="K9" s="21">
        <v>95.6</v>
      </c>
      <c r="L9" s="21">
        <v>0.8</v>
      </c>
      <c r="M9" s="21">
        <v>0</v>
      </c>
      <c r="N9" s="21">
        <v>3.9</v>
      </c>
      <c r="O9" s="21">
        <v>850164.26</v>
      </c>
      <c r="P9" s="21">
        <v>149262.75</v>
      </c>
    </row>
    <row r="10" spans="1:16">
      <c r="A10" s="9" t="s">
        <v>19</v>
      </c>
      <c r="B10" s="9">
        <f t="shared" si="0"/>
        <v>2025</v>
      </c>
      <c r="C10" s="9">
        <f t="shared" si="1"/>
        <v>1</v>
      </c>
      <c r="D10" s="10">
        <v>45658</v>
      </c>
      <c r="E10" s="9" t="s">
        <v>20</v>
      </c>
      <c r="F10" s="9" t="s">
        <v>21</v>
      </c>
      <c r="G10" s="21">
        <v>71838.86</v>
      </c>
      <c r="H10" s="21">
        <v>10979</v>
      </c>
      <c r="I10" s="21">
        <v>0.215</v>
      </c>
      <c r="J10" s="21">
        <v>26</v>
      </c>
      <c r="K10" s="21">
        <v>88.6</v>
      </c>
      <c r="L10" s="21">
        <v>7.7</v>
      </c>
      <c r="M10" s="21">
        <v>1</v>
      </c>
      <c r="N10" s="21">
        <v>3.8</v>
      </c>
      <c r="O10" s="21">
        <v>930581.7</v>
      </c>
      <c r="P10" s="21">
        <v>136207.98000000001</v>
      </c>
    </row>
    <row r="11" spans="1:16">
      <c r="A11" s="9" t="s">
        <v>19</v>
      </c>
      <c r="B11" s="9">
        <f t="shared" si="0"/>
        <v>2025</v>
      </c>
      <c r="C11" s="9">
        <f t="shared" si="1"/>
        <v>2</v>
      </c>
      <c r="D11" s="10">
        <v>45689</v>
      </c>
      <c r="E11" s="9" t="s">
        <v>20</v>
      </c>
      <c r="F11" s="9" t="s">
        <v>21</v>
      </c>
      <c r="G11" s="21">
        <v>68133.440000000002</v>
      </c>
      <c r="H11" s="21">
        <v>9459</v>
      </c>
      <c r="I11" s="21">
        <v>0.22</v>
      </c>
      <c r="J11" s="21">
        <v>21</v>
      </c>
      <c r="K11" s="21">
        <v>85</v>
      </c>
      <c r="L11" s="21">
        <v>1.91</v>
      </c>
      <c r="M11" s="21">
        <v>0</v>
      </c>
      <c r="N11" s="21">
        <v>4.2</v>
      </c>
      <c r="O11" s="21">
        <v>779010.94</v>
      </c>
      <c r="P11" s="21">
        <v>106328.09</v>
      </c>
    </row>
    <row r="12" spans="1:16">
      <c r="A12" s="9" t="s">
        <v>19</v>
      </c>
      <c r="B12" s="9">
        <f t="shared" si="0"/>
        <v>2025</v>
      </c>
      <c r="C12" s="9">
        <f t="shared" si="1"/>
        <v>3</v>
      </c>
      <c r="D12" s="10">
        <v>45717</v>
      </c>
      <c r="E12" s="9" t="s">
        <v>20</v>
      </c>
      <c r="F12" s="9" t="s">
        <v>21</v>
      </c>
      <c r="G12" s="21">
        <v>34285.21</v>
      </c>
      <c r="H12" s="21">
        <v>9172</v>
      </c>
      <c r="I12" s="21">
        <v>0.21299999999999999</v>
      </c>
      <c r="J12" s="21">
        <v>22</v>
      </c>
      <c r="K12" s="21">
        <v>88.3</v>
      </c>
      <c r="L12" s="21">
        <v>10.46</v>
      </c>
      <c r="M12" s="21">
        <v>1</v>
      </c>
      <c r="N12" s="21">
        <v>3.8</v>
      </c>
      <c r="O12" s="21">
        <v>723060.76</v>
      </c>
      <c r="P12" s="21">
        <v>123131.24</v>
      </c>
    </row>
    <row r="13" spans="1:16">
      <c r="A13" s="9" t="s">
        <v>19</v>
      </c>
      <c r="B13" s="9">
        <f t="shared" si="0"/>
        <v>2025</v>
      </c>
      <c r="C13" s="9">
        <f t="shared" si="1"/>
        <v>4</v>
      </c>
      <c r="D13" s="10">
        <v>45748</v>
      </c>
      <c r="E13" s="9" t="s">
        <v>20</v>
      </c>
      <c r="F13" s="9" t="s">
        <v>21</v>
      </c>
      <c r="G13" s="21">
        <v>67979.88</v>
      </c>
      <c r="H13" s="21">
        <v>11230</v>
      </c>
      <c r="I13" s="21">
        <v>2E-3</v>
      </c>
      <c r="J13" s="21">
        <v>28</v>
      </c>
      <c r="K13" s="21">
        <v>85.3</v>
      </c>
      <c r="L13" s="21">
        <v>7.16</v>
      </c>
      <c r="M13" s="21">
        <v>0</v>
      </c>
      <c r="N13" s="21">
        <v>3.8</v>
      </c>
      <c r="O13" s="21">
        <v>910791.94</v>
      </c>
      <c r="P13" s="21">
        <v>158891.28</v>
      </c>
    </row>
    <row r="14" spans="1:16">
      <c r="A14" s="9" t="s">
        <v>22</v>
      </c>
      <c r="B14" s="9">
        <f t="shared" si="0"/>
        <v>2025</v>
      </c>
      <c r="C14" s="9">
        <f t="shared" si="1"/>
        <v>1</v>
      </c>
      <c r="D14" s="10">
        <v>45658</v>
      </c>
      <c r="E14" s="9" t="s">
        <v>15</v>
      </c>
      <c r="F14" s="9" t="s">
        <v>16</v>
      </c>
      <c r="G14" s="21">
        <v>71828.259999999995</v>
      </c>
      <c r="H14" s="21">
        <v>12775</v>
      </c>
      <c r="I14" s="21">
        <v>0.11600000000000001</v>
      </c>
      <c r="J14" s="21">
        <v>30</v>
      </c>
      <c r="K14" s="21">
        <v>81.7</v>
      </c>
      <c r="L14" s="21">
        <v>4.24</v>
      </c>
      <c r="M14" s="21">
        <v>1</v>
      </c>
      <c r="N14" s="21">
        <v>4.2</v>
      </c>
      <c r="O14" s="21">
        <v>922168.6</v>
      </c>
      <c r="P14" s="21">
        <v>107494.53</v>
      </c>
    </row>
    <row r="15" spans="1:16">
      <c r="A15" s="9" t="s">
        <v>22</v>
      </c>
      <c r="B15" s="9">
        <f t="shared" si="0"/>
        <v>2025</v>
      </c>
      <c r="C15" s="9">
        <f t="shared" si="1"/>
        <v>2</v>
      </c>
      <c r="D15" s="10">
        <v>45689</v>
      </c>
      <c r="E15" s="9" t="s">
        <v>15</v>
      </c>
      <c r="F15" s="9" t="s">
        <v>16</v>
      </c>
      <c r="G15" s="21">
        <v>55716.82</v>
      </c>
      <c r="H15" s="21">
        <v>10054</v>
      </c>
      <c r="I15" s="21">
        <v>0.14599999999999999</v>
      </c>
      <c r="J15" s="21">
        <v>24</v>
      </c>
      <c r="K15" s="21">
        <v>84.9</v>
      </c>
      <c r="L15" s="21">
        <v>1.06</v>
      </c>
      <c r="M15" s="21">
        <v>0</v>
      </c>
      <c r="N15" s="21">
        <v>4.3</v>
      </c>
      <c r="O15" s="21">
        <v>726606.28</v>
      </c>
      <c r="P15" s="21">
        <v>122729.29</v>
      </c>
    </row>
    <row r="16" spans="1:16">
      <c r="A16" s="9" t="s">
        <v>22</v>
      </c>
      <c r="B16" s="9">
        <f t="shared" si="0"/>
        <v>2025</v>
      </c>
      <c r="C16" s="9">
        <f t="shared" si="1"/>
        <v>3</v>
      </c>
      <c r="D16" s="10">
        <v>45717</v>
      </c>
      <c r="E16" s="9" t="s">
        <v>15</v>
      </c>
      <c r="F16" s="9" t="s">
        <v>16</v>
      </c>
      <c r="G16" s="21">
        <v>59909.51</v>
      </c>
      <c r="H16" s="21">
        <v>8895</v>
      </c>
      <c r="I16" s="21">
        <v>0.22800000000000001</v>
      </c>
      <c r="J16" s="21">
        <v>23</v>
      </c>
      <c r="K16" s="21">
        <v>88.8</v>
      </c>
      <c r="L16" s="21">
        <v>0.27</v>
      </c>
      <c r="M16" s="21">
        <v>0</v>
      </c>
      <c r="N16" s="21">
        <v>4.3</v>
      </c>
      <c r="O16" s="21">
        <v>746501.09</v>
      </c>
      <c r="P16" s="21">
        <v>136816.72</v>
      </c>
    </row>
    <row r="17" spans="1:16">
      <c r="A17" s="9" t="s">
        <v>22</v>
      </c>
      <c r="B17" s="9">
        <f t="shared" si="0"/>
        <v>2025</v>
      </c>
      <c r="C17" s="9">
        <f t="shared" si="1"/>
        <v>4</v>
      </c>
      <c r="D17" s="10">
        <v>45748</v>
      </c>
      <c r="E17" s="9" t="s">
        <v>15</v>
      </c>
      <c r="F17" s="9" t="s">
        <v>16</v>
      </c>
      <c r="G17" s="21">
        <v>75305.710000000006</v>
      </c>
      <c r="H17" s="21">
        <v>10940</v>
      </c>
      <c r="I17" s="21">
        <v>6.0000000000000001E-3</v>
      </c>
      <c r="J17" s="21">
        <v>26</v>
      </c>
      <c r="K17" s="21">
        <v>76.5</v>
      </c>
      <c r="L17" s="21">
        <v>1.32</v>
      </c>
      <c r="M17" s="21">
        <v>0</v>
      </c>
      <c r="N17" s="21">
        <v>4.5</v>
      </c>
      <c r="O17" s="21">
        <v>834017.02</v>
      </c>
      <c r="P17" s="21">
        <v>114745.03</v>
      </c>
    </row>
    <row r="18" spans="1:16">
      <c r="A18" s="9" t="s">
        <v>23</v>
      </c>
      <c r="B18" s="9">
        <f t="shared" si="0"/>
        <v>2025</v>
      </c>
      <c r="C18" s="9">
        <f t="shared" si="1"/>
        <v>1</v>
      </c>
      <c r="D18" s="10">
        <v>45658</v>
      </c>
      <c r="E18" s="9" t="s">
        <v>24</v>
      </c>
      <c r="F18" s="9" t="s">
        <v>16</v>
      </c>
      <c r="G18" s="21">
        <v>48804.22</v>
      </c>
      <c r="H18" s="21">
        <v>7057</v>
      </c>
      <c r="I18" s="21">
        <v>5.0000000000000001E-3</v>
      </c>
      <c r="J18" s="21">
        <v>15</v>
      </c>
      <c r="K18" s="21">
        <v>87.7</v>
      </c>
      <c r="L18" s="21">
        <v>1.22</v>
      </c>
      <c r="M18" s="21">
        <v>0</v>
      </c>
      <c r="N18" s="21">
        <v>3.7</v>
      </c>
      <c r="O18" s="21">
        <v>666152.52</v>
      </c>
      <c r="P18" s="21">
        <v>107490.58</v>
      </c>
    </row>
    <row r="19" spans="1:16">
      <c r="A19" s="9" t="s">
        <v>23</v>
      </c>
      <c r="B19" s="9">
        <f t="shared" si="0"/>
        <v>2025</v>
      </c>
      <c r="C19" s="9">
        <f t="shared" si="1"/>
        <v>2</v>
      </c>
      <c r="D19" s="10">
        <v>45689</v>
      </c>
      <c r="E19" s="9" t="s">
        <v>24</v>
      </c>
      <c r="F19" s="9" t="s">
        <v>16</v>
      </c>
      <c r="G19" s="21">
        <v>59117.9</v>
      </c>
      <c r="H19" s="21">
        <v>4263</v>
      </c>
      <c r="I19" s="21">
        <v>0.11899999999999999</v>
      </c>
      <c r="J19" s="21">
        <v>9</v>
      </c>
      <c r="K19" s="21">
        <v>87.6</v>
      </c>
      <c r="L19" s="21">
        <v>4.01</v>
      </c>
      <c r="M19" s="21">
        <v>0</v>
      </c>
      <c r="N19" s="21">
        <v>3.6</v>
      </c>
      <c r="O19" s="21">
        <v>573155.18999999994</v>
      </c>
      <c r="P19" s="21">
        <v>83680.75</v>
      </c>
    </row>
    <row r="20" spans="1:16">
      <c r="A20" s="9" t="s">
        <v>23</v>
      </c>
      <c r="B20" s="9">
        <f t="shared" si="0"/>
        <v>2025</v>
      </c>
      <c r="C20" s="9">
        <f t="shared" si="1"/>
        <v>3</v>
      </c>
      <c r="D20" s="10">
        <v>45717</v>
      </c>
      <c r="E20" s="9" t="s">
        <v>24</v>
      </c>
      <c r="F20" s="9" t="s">
        <v>16</v>
      </c>
      <c r="G20" s="21">
        <v>78831.12</v>
      </c>
      <c r="H20" s="21">
        <v>5538</v>
      </c>
      <c r="I20" s="21">
        <v>0</v>
      </c>
      <c r="J20" s="21">
        <v>15</v>
      </c>
      <c r="K20" s="21">
        <v>94.1</v>
      </c>
      <c r="L20" s="21">
        <v>0.2</v>
      </c>
      <c r="M20" s="21">
        <v>0</v>
      </c>
      <c r="N20" s="21">
        <v>3.9</v>
      </c>
      <c r="O20" s="21">
        <v>666573.19999999995</v>
      </c>
      <c r="P20" s="21">
        <v>140641.01999999999</v>
      </c>
    </row>
    <row r="21" spans="1:16">
      <c r="A21" s="9" t="s">
        <v>23</v>
      </c>
      <c r="B21" s="9">
        <f t="shared" si="0"/>
        <v>2025</v>
      </c>
      <c r="C21" s="9">
        <f t="shared" si="1"/>
        <v>4</v>
      </c>
      <c r="D21" s="10">
        <v>45748</v>
      </c>
      <c r="E21" s="9" t="s">
        <v>24</v>
      </c>
      <c r="F21" s="9" t="s">
        <v>16</v>
      </c>
      <c r="G21" s="21">
        <v>41441.93</v>
      </c>
      <c r="H21" s="21">
        <v>4865</v>
      </c>
      <c r="I21" s="21">
        <v>0.158</v>
      </c>
      <c r="J21" s="21">
        <v>16</v>
      </c>
      <c r="K21" s="21">
        <v>88.3</v>
      </c>
      <c r="L21" s="21">
        <v>0.5</v>
      </c>
      <c r="M21" s="21">
        <v>0</v>
      </c>
      <c r="N21" s="21">
        <v>4</v>
      </c>
      <c r="O21" s="21">
        <v>591619.94999999995</v>
      </c>
      <c r="P21" s="21">
        <v>99521.35</v>
      </c>
    </row>
    <row r="22" spans="1:16">
      <c r="A22" s="9" t="s">
        <v>25</v>
      </c>
      <c r="B22" s="9">
        <f t="shared" si="0"/>
        <v>2025</v>
      </c>
      <c r="C22" s="9">
        <f t="shared" si="1"/>
        <v>1</v>
      </c>
      <c r="D22" s="10">
        <v>45658</v>
      </c>
      <c r="E22" s="9" t="s">
        <v>20</v>
      </c>
      <c r="F22" s="9" t="s">
        <v>16</v>
      </c>
      <c r="G22" s="21">
        <v>30356.28</v>
      </c>
      <c r="H22" s="21">
        <v>2822</v>
      </c>
      <c r="I22" s="21">
        <v>0.23100000000000001</v>
      </c>
      <c r="J22" s="21">
        <v>9</v>
      </c>
      <c r="K22" s="21">
        <v>84.8</v>
      </c>
      <c r="L22" s="21">
        <v>6.95</v>
      </c>
      <c r="M22" s="21">
        <v>0</v>
      </c>
      <c r="N22" s="21">
        <v>5</v>
      </c>
      <c r="O22" s="21">
        <v>415721.82</v>
      </c>
      <c r="P22" s="21">
        <v>61179.15</v>
      </c>
    </row>
    <row r="23" spans="1:16">
      <c r="A23" s="9" t="s">
        <v>25</v>
      </c>
      <c r="B23" s="9">
        <f t="shared" si="0"/>
        <v>2025</v>
      </c>
      <c r="C23" s="9">
        <f t="shared" si="1"/>
        <v>2</v>
      </c>
      <c r="D23" s="10">
        <v>45689</v>
      </c>
      <c r="E23" s="9" t="s">
        <v>20</v>
      </c>
      <c r="F23" s="9" t="s">
        <v>16</v>
      </c>
      <c r="G23" s="21">
        <v>33518.879999999997</v>
      </c>
      <c r="H23" s="21">
        <v>2121</v>
      </c>
      <c r="I23" s="21">
        <v>0.17599999999999999</v>
      </c>
      <c r="J23" s="21">
        <v>8</v>
      </c>
      <c r="K23" s="21">
        <v>88.5</v>
      </c>
      <c r="L23" s="21">
        <v>0.2</v>
      </c>
      <c r="M23" s="21">
        <v>0</v>
      </c>
      <c r="N23" s="21">
        <v>5</v>
      </c>
      <c r="O23" s="21">
        <v>491905.13</v>
      </c>
      <c r="P23" s="21">
        <v>79212.259999999995</v>
      </c>
    </row>
    <row r="24" spans="1:16">
      <c r="A24" s="9" t="s">
        <v>25</v>
      </c>
      <c r="B24" s="9">
        <f t="shared" si="0"/>
        <v>2025</v>
      </c>
      <c r="C24" s="9">
        <f t="shared" si="1"/>
        <v>3</v>
      </c>
      <c r="D24" s="10">
        <v>45717</v>
      </c>
      <c r="E24" s="9" t="s">
        <v>20</v>
      </c>
      <c r="F24" s="9" t="s">
        <v>16</v>
      </c>
      <c r="G24" s="21">
        <v>42267.37</v>
      </c>
      <c r="H24" s="21">
        <v>3364</v>
      </c>
      <c r="I24" s="21">
        <v>0.16</v>
      </c>
      <c r="J24" s="21">
        <v>13</v>
      </c>
      <c r="K24" s="21">
        <v>82</v>
      </c>
      <c r="L24" s="21">
        <v>1.61</v>
      </c>
      <c r="M24" s="21">
        <v>1</v>
      </c>
      <c r="N24" s="21">
        <v>4.5999999999999996</v>
      </c>
      <c r="O24" s="21">
        <v>555929.4</v>
      </c>
      <c r="P24" s="21">
        <v>115201.76</v>
      </c>
    </row>
    <row r="25" spans="1:16">
      <c r="A25" s="9" t="s">
        <v>25</v>
      </c>
      <c r="B25" s="9">
        <f t="shared" si="0"/>
        <v>2025</v>
      </c>
      <c r="C25" s="9">
        <f t="shared" si="1"/>
        <v>4</v>
      </c>
      <c r="D25" s="10">
        <v>45748</v>
      </c>
      <c r="E25" s="9" t="s">
        <v>20</v>
      </c>
      <c r="F25" s="9" t="s">
        <v>16</v>
      </c>
      <c r="G25" s="21">
        <v>62060.43</v>
      </c>
      <c r="H25" s="21">
        <v>2613</v>
      </c>
      <c r="I25" s="21">
        <v>0.216</v>
      </c>
      <c r="J25" s="21">
        <v>12</v>
      </c>
      <c r="K25" s="21">
        <v>92.1</v>
      </c>
      <c r="L25" s="21">
        <v>1.55</v>
      </c>
      <c r="M25" s="21">
        <v>0</v>
      </c>
      <c r="N25" s="21">
        <v>4.7</v>
      </c>
      <c r="O25" s="21">
        <v>565810.99</v>
      </c>
      <c r="P25" s="21">
        <v>77825.460000000006</v>
      </c>
    </row>
    <row r="26" spans="1:16">
      <c r="A26" s="9" t="s">
        <v>26</v>
      </c>
      <c r="B26" s="9">
        <f t="shared" si="0"/>
        <v>2025</v>
      </c>
      <c r="C26" s="9">
        <f t="shared" si="1"/>
        <v>1</v>
      </c>
      <c r="D26" s="10">
        <v>45658</v>
      </c>
      <c r="E26" s="9" t="s">
        <v>27</v>
      </c>
      <c r="F26" s="9" t="s">
        <v>28</v>
      </c>
      <c r="G26" s="21">
        <v>57696.69</v>
      </c>
      <c r="H26" s="21">
        <v>10218</v>
      </c>
      <c r="I26" s="21">
        <v>0.121</v>
      </c>
      <c r="J26" s="21">
        <v>25</v>
      </c>
      <c r="K26" s="21">
        <v>94.8</v>
      </c>
      <c r="L26" s="21">
        <v>2.99</v>
      </c>
      <c r="M26" s="21">
        <v>0</v>
      </c>
      <c r="N26" s="21">
        <v>3.5</v>
      </c>
      <c r="O26" s="21">
        <v>811771.14</v>
      </c>
      <c r="P26" s="21">
        <v>148756.24</v>
      </c>
    </row>
    <row r="27" spans="1:16">
      <c r="A27" s="9" t="s">
        <v>26</v>
      </c>
      <c r="B27" s="9">
        <f t="shared" si="0"/>
        <v>2025</v>
      </c>
      <c r="C27" s="9">
        <f t="shared" si="1"/>
        <v>2</v>
      </c>
      <c r="D27" s="10">
        <v>45689</v>
      </c>
      <c r="E27" s="9" t="s">
        <v>27</v>
      </c>
      <c r="F27" s="9" t="s">
        <v>28</v>
      </c>
      <c r="G27" s="21">
        <v>172415.52</v>
      </c>
      <c r="H27" s="21">
        <v>8927</v>
      </c>
      <c r="I27" s="21">
        <v>0.14000000000000001</v>
      </c>
      <c r="J27" s="21">
        <v>22</v>
      </c>
      <c r="K27" s="21">
        <v>86.2</v>
      </c>
      <c r="L27" s="21">
        <v>7.04</v>
      </c>
      <c r="M27" s="21">
        <v>0</v>
      </c>
      <c r="N27" s="21">
        <v>3.9</v>
      </c>
      <c r="O27" s="21">
        <v>800451.94</v>
      </c>
      <c r="P27" s="21">
        <v>111572.29</v>
      </c>
    </row>
    <row r="28" spans="1:16">
      <c r="A28" s="9" t="s">
        <v>26</v>
      </c>
      <c r="B28" s="9">
        <f t="shared" si="0"/>
        <v>2025</v>
      </c>
      <c r="C28" s="9">
        <f t="shared" si="1"/>
        <v>3</v>
      </c>
      <c r="D28" s="10">
        <v>45717</v>
      </c>
      <c r="E28" s="9" t="s">
        <v>27</v>
      </c>
      <c r="F28" s="9" t="s">
        <v>28</v>
      </c>
      <c r="G28" s="21">
        <v>55270.52</v>
      </c>
      <c r="H28" s="21">
        <v>9315</v>
      </c>
      <c r="I28" s="21">
        <v>0.16900000000000001</v>
      </c>
      <c r="J28" s="21">
        <v>23</v>
      </c>
      <c r="K28" s="21">
        <v>91.9</v>
      </c>
      <c r="L28" s="21">
        <v>4.9400000000000004</v>
      </c>
      <c r="M28" s="21">
        <v>0</v>
      </c>
      <c r="N28" s="21">
        <v>4</v>
      </c>
      <c r="O28" s="21">
        <v>783672.82</v>
      </c>
      <c r="P28" s="21">
        <v>112577.14</v>
      </c>
    </row>
    <row r="29" spans="1:16">
      <c r="A29" s="9" t="s">
        <v>26</v>
      </c>
      <c r="B29" s="9">
        <f t="shared" si="0"/>
        <v>2025</v>
      </c>
      <c r="C29" s="9">
        <f t="shared" si="1"/>
        <v>4</v>
      </c>
      <c r="D29" s="10">
        <v>45748</v>
      </c>
      <c r="E29" s="9" t="s">
        <v>27</v>
      </c>
      <c r="F29" s="9" t="s">
        <v>28</v>
      </c>
      <c r="G29" s="21">
        <v>52715.1</v>
      </c>
      <c r="H29" s="21">
        <v>7223</v>
      </c>
      <c r="I29" s="21">
        <v>0.122</v>
      </c>
      <c r="J29" s="21">
        <v>16</v>
      </c>
      <c r="K29" s="21">
        <v>84.2</v>
      </c>
      <c r="L29" s="21">
        <v>16.149999999999999</v>
      </c>
      <c r="M29" s="21">
        <v>0</v>
      </c>
      <c r="N29" s="21">
        <v>3.7</v>
      </c>
      <c r="O29" s="21">
        <v>701641.97</v>
      </c>
      <c r="P29" s="21">
        <v>106111.86</v>
      </c>
    </row>
    <row r="30" spans="1:16">
      <c r="A30" s="9" t="s">
        <v>29</v>
      </c>
      <c r="B30" s="9">
        <f t="shared" si="0"/>
        <v>2025</v>
      </c>
      <c r="C30" s="9">
        <f t="shared" si="1"/>
        <v>1</v>
      </c>
      <c r="D30" s="10">
        <v>45658</v>
      </c>
      <c r="E30" s="9" t="s">
        <v>15</v>
      </c>
      <c r="F30" s="9" t="s">
        <v>16</v>
      </c>
      <c r="G30" s="21">
        <v>68600.62</v>
      </c>
      <c r="H30" s="21">
        <v>3988</v>
      </c>
      <c r="I30" s="21">
        <v>0.124</v>
      </c>
      <c r="J30" s="21">
        <v>11</v>
      </c>
      <c r="K30" s="21">
        <v>85</v>
      </c>
      <c r="L30" s="21">
        <v>0.48</v>
      </c>
      <c r="M30" s="21">
        <v>0</v>
      </c>
      <c r="N30" s="21">
        <v>3.6</v>
      </c>
      <c r="O30" s="21">
        <v>511844.41</v>
      </c>
      <c r="P30" s="21">
        <v>72774.44</v>
      </c>
    </row>
    <row r="31" spans="1:16">
      <c r="A31" s="9" t="s">
        <v>29</v>
      </c>
      <c r="B31" s="9">
        <f t="shared" si="0"/>
        <v>2025</v>
      </c>
      <c r="C31" s="9">
        <f t="shared" si="1"/>
        <v>2</v>
      </c>
      <c r="D31" s="10">
        <v>45689</v>
      </c>
      <c r="E31" s="9" t="s">
        <v>15</v>
      </c>
      <c r="F31" s="9" t="s">
        <v>16</v>
      </c>
      <c r="G31" s="21">
        <v>63176.73</v>
      </c>
      <c r="H31" s="21">
        <v>2390</v>
      </c>
      <c r="I31" s="21">
        <v>0.216</v>
      </c>
      <c r="J31" s="21">
        <v>9</v>
      </c>
      <c r="K31" s="21">
        <v>87.5</v>
      </c>
      <c r="L31" s="21">
        <v>0.31</v>
      </c>
      <c r="M31" s="21">
        <v>0</v>
      </c>
      <c r="N31" s="21">
        <v>3.1</v>
      </c>
      <c r="O31" s="21">
        <v>537383.79</v>
      </c>
      <c r="P31" s="21">
        <v>63773.27</v>
      </c>
    </row>
    <row r="32" spans="1:16">
      <c r="A32" s="9" t="s">
        <v>29</v>
      </c>
      <c r="B32" s="9">
        <f t="shared" si="0"/>
        <v>2025</v>
      </c>
      <c r="C32" s="9">
        <f t="shared" si="1"/>
        <v>3</v>
      </c>
      <c r="D32" s="10">
        <v>45717</v>
      </c>
      <c r="E32" s="9" t="s">
        <v>15</v>
      </c>
      <c r="F32" s="9" t="s">
        <v>16</v>
      </c>
      <c r="G32" s="21">
        <v>44970.080000000002</v>
      </c>
      <c r="H32" s="21">
        <v>2471</v>
      </c>
      <c r="I32" s="21">
        <v>0.13600000000000001</v>
      </c>
      <c r="J32" s="21">
        <v>11</v>
      </c>
      <c r="K32" s="21">
        <v>87.6</v>
      </c>
      <c r="L32" s="21">
        <v>3.01</v>
      </c>
      <c r="M32" s="21">
        <v>1</v>
      </c>
      <c r="N32" s="21">
        <v>3.7</v>
      </c>
      <c r="O32" s="21">
        <v>500173.02</v>
      </c>
      <c r="P32" s="21">
        <v>70982.05</v>
      </c>
    </row>
    <row r="33" spans="1:16">
      <c r="A33" s="9" t="s">
        <v>29</v>
      </c>
      <c r="B33" s="9">
        <f t="shared" si="0"/>
        <v>2025</v>
      </c>
      <c r="C33" s="9">
        <f t="shared" si="1"/>
        <v>4</v>
      </c>
      <c r="D33" s="10">
        <v>45748</v>
      </c>
      <c r="E33" s="9" t="s">
        <v>15</v>
      </c>
      <c r="F33" s="9" t="s">
        <v>16</v>
      </c>
      <c r="G33" s="21">
        <v>69816.350000000006</v>
      </c>
      <c r="H33" s="21">
        <v>971</v>
      </c>
      <c r="I33" s="21">
        <v>0.16800000000000001</v>
      </c>
      <c r="J33" s="21">
        <v>5</v>
      </c>
      <c r="K33" s="21">
        <v>89.9</v>
      </c>
      <c r="L33" s="21">
        <v>12.15</v>
      </c>
      <c r="M33" s="21">
        <v>0</v>
      </c>
      <c r="N33" s="21">
        <v>3.6</v>
      </c>
      <c r="O33" s="21">
        <v>427917.38</v>
      </c>
      <c r="P33" s="21">
        <v>81824.31</v>
      </c>
    </row>
    <row r="34" spans="1:16">
      <c r="A34" s="9" t="s">
        <v>30</v>
      </c>
      <c r="B34" s="9">
        <f t="shared" si="0"/>
        <v>2025</v>
      </c>
      <c r="C34" s="9">
        <f t="shared" si="1"/>
        <v>1</v>
      </c>
      <c r="D34" s="10">
        <v>45658</v>
      </c>
      <c r="E34" s="9" t="s">
        <v>20</v>
      </c>
      <c r="F34" s="9" t="s">
        <v>16</v>
      </c>
      <c r="G34" s="21">
        <v>54597.83</v>
      </c>
      <c r="H34" s="21">
        <v>9429</v>
      </c>
      <c r="I34" s="21">
        <v>0.188</v>
      </c>
      <c r="J34" s="21">
        <v>21</v>
      </c>
      <c r="K34" s="21">
        <v>83.3</v>
      </c>
      <c r="L34" s="21">
        <v>11.71</v>
      </c>
      <c r="M34" s="21">
        <v>0</v>
      </c>
      <c r="N34" s="21">
        <v>4.2</v>
      </c>
      <c r="O34" s="21">
        <v>641865.03</v>
      </c>
      <c r="P34" s="21">
        <v>81342.58</v>
      </c>
    </row>
    <row r="35" spans="1:16">
      <c r="A35" s="9" t="s">
        <v>30</v>
      </c>
      <c r="B35" s="9">
        <f t="shared" si="0"/>
        <v>2025</v>
      </c>
      <c r="C35" s="9">
        <f t="shared" si="1"/>
        <v>3</v>
      </c>
      <c r="D35" s="10">
        <v>45717</v>
      </c>
      <c r="E35" s="9" t="s">
        <v>20</v>
      </c>
      <c r="F35" s="9" t="s">
        <v>16</v>
      </c>
      <c r="G35" s="21">
        <v>74413.88</v>
      </c>
      <c r="H35" s="21">
        <v>9449</v>
      </c>
      <c r="I35" s="21">
        <v>3.9E-2</v>
      </c>
      <c r="J35" s="21">
        <v>23</v>
      </c>
      <c r="K35" s="21">
        <v>92.1</v>
      </c>
      <c r="L35" s="21">
        <v>2.12</v>
      </c>
      <c r="M35" s="21">
        <v>0</v>
      </c>
      <c r="N35" s="21">
        <v>3.5</v>
      </c>
      <c r="O35" s="21">
        <v>798952.17</v>
      </c>
      <c r="P35" s="21">
        <v>161499.04</v>
      </c>
    </row>
    <row r="36" spans="1:16">
      <c r="A36" s="9" t="s">
        <v>30</v>
      </c>
      <c r="B36" s="9">
        <f t="shared" si="0"/>
        <v>2025</v>
      </c>
      <c r="C36" s="9">
        <f t="shared" si="1"/>
        <v>4</v>
      </c>
      <c r="D36" s="10">
        <v>45748</v>
      </c>
      <c r="E36" s="9" t="s">
        <v>20</v>
      </c>
      <c r="F36" s="9" t="s">
        <v>16</v>
      </c>
      <c r="G36" s="21">
        <v>52483.77</v>
      </c>
      <c r="H36" s="21">
        <v>10453</v>
      </c>
      <c r="I36" s="21">
        <v>0.247</v>
      </c>
      <c r="J36" s="21">
        <v>25</v>
      </c>
      <c r="K36" s="21">
        <v>99</v>
      </c>
      <c r="L36" s="21">
        <v>6.31</v>
      </c>
      <c r="M36" s="21">
        <v>0</v>
      </c>
      <c r="N36" s="21">
        <v>3.6</v>
      </c>
      <c r="O36" s="21">
        <v>800979.78</v>
      </c>
      <c r="P36" s="21">
        <v>149242.26999999999</v>
      </c>
    </row>
    <row r="37" spans="1:16">
      <c r="A37" s="9" t="s">
        <v>31</v>
      </c>
      <c r="B37" s="9">
        <f t="shared" si="0"/>
        <v>2025</v>
      </c>
      <c r="C37" s="9">
        <f t="shared" si="1"/>
        <v>1</v>
      </c>
      <c r="D37" s="10">
        <v>45658</v>
      </c>
      <c r="E37" s="9" t="s">
        <v>20</v>
      </c>
      <c r="F37" s="9" t="s">
        <v>28</v>
      </c>
      <c r="G37" s="21">
        <v>75269.87</v>
      </c>
      <c r="H37" s="21">
        <v>8838</v>
      </c>
      <c r="I37" s="21">
        <v>9.1999999999999998E-2</v>
      </c>
      <c r="J37" s="21">
        <v>21</v>
      </c>
      <c r="K37" s="21">
        <v>83.1</v>
      </c>
      <c r="L37" s="21">
        <v>9.56</v>
      </c>
      <c r="M37" s="21">
        <v>1</v>
      </c>
      <c r="N37" s="21">
        <v>4.2</v>
      </c>
      <c r="O37" s="21">
        <v>820593.93</v>
      </c>
      <c r="P37" s="21">
        <v>115860.06</v>
      </c>
    </row>
    <row r="38" spans="1:16">
      <c r="A38" s="9" t="s">
        <v>31</v>
      </c>
      <c r="B38" s="9">
        <f t="shared" si="0"/>
        <v>2025</v>
      </c>
      <c r="C38" s="9">
        <f t="shared" si="1"/>
        <v>2</v>
      </c>
      <c r="D38" s="10">
        <v>45689</v>
      </c>
      <c r="E38" s="9" t="s">
        <v>20</v>
      </c>
      <c r="F38" s="9" t="s">
        <v>28</v>
      </c>
      <c r="G38" s="21">
        <v>61245.41</v>
      </c>
      <c r="H38" s="21">
        <v>8156</v>
      </c>
      <c r="I38" s="21">
        <v>0.156</v>
      </c>
      <c r="J38" s="21">
        <v>19</v>
      </c>
      <c r="K38" s="21">
        <v>92.9</v>
      </c>
      <c r="L38" s="21">
        <v>9.0500000000000007</v>
      </c>
      <c r="M38" s="21">
        <v>0</v>
      </c>
      <c r="N38" s="21">
        <v>3.8</v>
      </c>
      <c r="O38" s="21">
        <v>718330.53</v>
      </c>
      <c r="P38" s="21">
        <v>93247.9</v>
      </c>
    </row>
    <row r="39" spans="1:16">
      <c r="A39" s="9" t="s">
        <v>31</v>
      </c>
      <c r="B39" s="9">
        <f t="shared" si="0"/>
        <v>2025</v>
      </c>
      <c r="C39" s="9">
        <f t="shared" si="1"/>
        <v>3</v>
      </c>
      <c r="D39" s="10">
        <v>45717</v>
      </c>
      <c r="E39" s="9" t="s">
        <v>20</v>
      </c>
      <c r="F39" s="9" t="s">
        <v>28</v>
      </c>
      <c r="G39" s="21">
        <v>93381.26</v>
      </c>
      <c r="H39" s="21">
        <v>7562</v>
      </c>
      <c r="I39" s="21">
        <v>0.19800000000000001</v>
      </c>
      <c r="J39" s="21">
        <v>19</v>
      </c>
      <c r="K39" s="21">
        <v>82.9</v>
      </c>
      <c r="L39" s="21">
        <v>5.05</v>
      </c>
      <c r="M39" s="21">
        <v>0</v>
      </c>
      <c r="N39" s="21">
        <v>4</v>
      </c>
      <c r="O39" s="21">
        <v>736633.4</v>
      </c>
      <c r="P39" s="21">
        <v>115654.66</v>
      </c>
    </row>
    <row r="40" spans="1:16">
      <c r="A40" s="9" t="s">
        <v>31</v>
      </c>
      <c r="B40" s="9">
        <f t="shared" si="0"/>
        <v>2025</v>
      </c>
      <c r="C40" s="9">
        <f t="shared" si="1"/>
        <v>4</v>
      </c>
      <c r="D40" s="10">
        <v>45748</v>
      </c>
      <c r="E40" s="9" t="s">
        <v>20</v>
      </c>
      <c r="F40" s="9" t="s">
        <v>28</v>
      </c>
      <c r="G40" s="21">
        <v>65012.19</v>
      </c>
      <c r="H40" s="21">
        <v>9598</v>
      </c>
      <c r="I40" s="21">
        <v>8.5000000000000006E-2</v>
      </c>
      <c r="J40" s="21">
        <v>24</v>
      </c>
      <c r="K40" s="21">
        <v>98.3</v>
      </c>
      <c r="L40" s="21">
        <v>0.89</v>
      </c>
      <c r="M40" s="21">
        <v>0</v>
      </c>
      <c r="N40" s="21">
        <v>3.8</v>
      </c>
      <c r="O40" s="21">
        <v>828623.85</v>
      </c>
      <c r="P40" s="21">
        <v>167320.51999999999</v>
      </c>
    </row>
    <row r="41" spans="1:16">
      <c r="A41" s="9" t="s">
        <v>32</v>
      </c>
      <c r="B41" s="9">
        <f t="shared" si="0"/>
        <v>2025</v>
      </c>
      <c r="C41" s="9">
        <f t="shared" si="1"/>
        <v>1</v>
      </c>
      <c r="D41" s="10">
        <v>45658</v>
      </c>
      <c r="E41" s="9" t="s">
        <v>15</v>
      </c>
      <c r="F41" s="9" t="s">
        <v>28</v>
      </c>
      <c r="G41" s="21">
        <v>40462.94</v>
      </c>
      <c r="H41" s="21">
        <v>3660</v>
      </c>
      <c r="I41" s="21">
        <v>0.218</v>
      </c>
      <c r="J41" s="21">
        <v>11</v>
      </c>
      <c r="K41" s="21">
        <v>95.2</v>
      </c>
      <c r="L41" s="21">
        <v>5.57</v>
      </c>
      <c r="M41" s="21">
        <v>0</v>
      </c>
      <c r="N41" s="21">
        <v>4.4000000000000004</v>
      </c>
      <c r="O41" s="21">
        <v>592195.85</v>
      </c>
      <c r="P41" s="21">
        <v>92291.56</v>
      </c>
    </row>
    <row r="42" spans="1:16">
      <c r="A42" s="9" t="s">
        <v>32</v>
      </c>
      <c r="B42" s="9">
        <f t="shared" si="0"/>
        <v>2025</v>
      </c>
      <c r="C42" s="9">
        <f t="shared" si="1"/>
        <v>2</v>
      </c>
      <c r="D42" s="10">
        <v>45689</v>
      </c>
      <c r="E42" s="9" t="s">
        <v>15</v>
      </c>
      <c r="F42" s="9" t="s">
        <v>28</v>
      </c>
      <c r="G42" s="21">
        <v>46123.88</v>
      </c>
      <c r="H42" s="21">
        <v>3227</v>
      </c>
      <c r="I42" s="21">
        <v>0.14299999999999999</v>
      </c>
      <c r="J42" s="21">
        <v>10</v>
      </c>
      <c r="K42" s="21">
        <v>75.400000000000006</v>
      </c>
      <c r="L42" s="21">
        <v>1.06</v>
      </c>
      <c r="M42" s="21">
        <v>0</v>
      </c>
      <c r="N42" s="21">
        <v>4.4000000000000004</v>
      </c>
      <c r="O42" s="21">
        <v>532644.46</v>
      </c>
      <c r="P42" s="21">
        <v>60681.32</v>
      </c>
    </row>
    <row r="43" spans="1:16">
      <c r="A43" s="9" t="s">
        <v>32</v>
      </c>
      <c r="B43" s="9">
        <f t="shared" si="0"/>
        <v>2025</v>
      </c>
      <c r="C43" s="9">
        <f t="shared" si="1"/>
        <v>3</v>
      </c>
      <c r="D43" s="10">
        <v>45717</v>
      </c>
      <c r="E43" s="9" t="s">
        <v>15</v>
      </c>
      <c r="F43" s="9" t="s">
        <v>28</v>
      </c>
      <c r="G43" s="21">
        <v>68077.539999999994</v>
      </c>
      <c r="H43" s="21">
        <v>3360</v>
      </c>
      <c r="I43" s="21">
        <v>0.128</v>
      </c>
      <c r="J43" s="21">
        <v>14</v>
      </c>
      <c r="K43" s="21">
        <v>88.2</v>
      </c>
      <c r="L43" s="21">
        <v>1.24</v>
      </c>
      <c r="M43" s="21">
        <v>1</v>
      </c>
      <c r="N43" s="21">
        <v>4</v>
      </c>
      <c r="O43" s="21">
        <v>657429.18000000005</v>
      </c>
      <c r="P43" s="21">
        <v>88919.74</v>
      </c>
    </row>
    <row r="44" spans="1:16">
      <c r="A44" s="9" t="s">
        <v>32</v>
      </c>
      <c r="B44" s="9">
        <f t="shared" si="0"/>
        <v>2025</v>
      </c>
      <c r="C44" s="9">
        <f t="shared" si="1"/>
        <v>4</v>
      </c>
      <c r="D44" s="10">
        <v>45748</v>
      </c>
      <c r="E44" s="9" t="s">
        <v>15</v>
      </c>
      <c r="F44" s="9" t="s">
        <v>28</v>
      </c>
      <c r="G44" s="21">
        <v>64882.14</v>
      </c>
      <c r="H44" s="21">
        <v>3642</v>
      </c>
      <c r="I44" s="21">
        <v>1.9E-2</v>
      </c>
      <c r="J44" s="21">
        <v>13</v>
      </c>
      <c r="K44" s="21">
        <v>87.8</v>
      </c>
      <c r="L44" s="21">
        <v>4.5199999999999996</v>
      </c>
      <c r="M44" s="21">
        <v>0</v>
      </c>
      <c r="N44" s="21">
        <v>4.2</v>
      </c>
      <c r="O44" s="21">
        <v>605178</v>
      </c>
      <c r="P44" s="21">
        <v>106958.74</v>
      </c>
    </row>
    <row r="45" spans="1:16">
      <c r="A45" s="9" t="s">
        <v>33</v>
      </c>
      <c r="B45" s="9">
        <f t="shared" si="0"/>
        <v>2025</v>
      </c>
      <c r="C45" s="9">
        <f t="shared" si="1"/>
        <v>1</v>
      </c>
      <c r="D45" s="10">
        <v>45658</v>
      </c>
      <c r="E45" s="9" t="s">
        <v>27</v>
      </c>
      <c r="F45" s="9" t="s">
        <v>16</v>
      </c>
      <c r="G45" s="21">
        <v>138855.51</v>
      </c>
      <c r="H45" s="21">
        <v>5145</v>
      </c>
      <c r="I45" s="21">
        <v>0.06</v>
      </c>
      <c r="J45" s="21">
        <v>17</v>
      </c>
      <c r="K45" s="21">
        <v>88.2</v>
      </c>
      <c r="L45" s="21">
        <v>9.58</v>
      </c>
      <c r="M45" s="21">
        <v>0</v>
      </c>
      <c r="N45" s="21">
        <v>3.2</v>
      </c>
      <c r="O45" s="21">
        <v>595467.6</v>
      </c>
      <c r="P45" s="21">
        <v>104276.46</v>
      </c>
    </row>
    <row r="46" spans="1:16">
      <c r="A46" s="9" t="s">
        <v>33</v>
      </c>
      <c r="B46" s="9">
        <f t="shared" si="0"/>
        <v>2025</v>
      </c>
      <c r="C46" s="9">
        <f t="shared" si="1"/>
        <v>2</v>
      </c>
      <c r="D46" s="10">
        <v>45689</v>
      </c>
      <c r="E46" s="9" t="s">
        <v>27</v>
      </c>
      <c r="F46" s="9" t="s">
        <v>16</v>
      </c>
      <c r="G46" s="21">
        <v>63630.21</v>
      </c>
      <c r="H46" s="21">
        <v>4460</v>
      </c>
      <c r="I46" s="21">
        <v>0.23499999999999999</v>
      </c>
      <c r="J46" s="21">
        <v>14</v>
      </c>
      <c r="K46" s="21">
        <v>98.6</v>
      </c>
      <c r="L46" s="21">
        <v>5.52</v>
      </c>
      <c r="M46" s="21">
        <v>0</v>
      </c>
      <c r="N46" s="21">
        <v>3.5</v>
      </c>
      <c r="O46" s="21">
        <v>599603.4</v>
      </c>
      <c r="P46" s="21">
        <v>112685.12</v>
      </c>
    </row>
    <row r="47" spans="1:16">
      <c r="A47" s="9" t="s">
        <v>33</v>
      </c>
      <c r="B47" s="9">
        <f t="shared" si="0"/>
        <v>2025</v>
      </c>
      <c r="C47" s="9">
        <f t="shared" si="1"/>
        <v>3</v>
      </c>
      <c r="D47" s="10">
        <v>45717</v>
      </c>
      <c r="E47" s="9" t="s">
        <v>27</v>
      </c>
      <c r="F47" s="9" t="s">
        <v>16</v>
      </c>
      <c r="G47" s="21">
        <v>50043.65</v>
      </c>
      <c r="H47" s="21">
        <v>3804</v>
      </c>
      <c r="I47" s="21">
        <v>0.113</v>
      </c>
      <c r="J47" s="21">
        <v>11</v>
      </c>
      <c r="K47" s="21">
        <v>90.9</v>
      </c>
      <c r="L47" s="21">
        <v>2.7</v>
      </c>
      <c r="M47" s="21">
        <v>1</v>
      </c>
      <c r="N47" s="21">
        <v>3.2</v>
      </c>
      <c r="O47" s="21">
        <v>614800.09</v>
      </c>
      <c r="P47" s="21">
        <v>100044.2</v>
      </c>
    </row>
    <row r="48" spans="1:16">
      <c r="A48" s="9" t="s">
        <v>33</v>
      </c>
      <c r="B48" s="9">
        <f t="shared" si="0"/>
        <v>2025</v>
      </c>
      <c r="C48" s="9">
        <f t="shared" si="1"/>
        <v>4</v>
      </c>
      <c r="D48" s="10">
        <v>45748</v>
      </c>
      <c r="E48" s="9" t="s">
        <v>27</v>
      </c>
      <c r="F48" s="9" t="s">
        <v>16</v>
      </c>
      <c r="G48" s="21">
        <v>42093.84</v>
      </c>
      <c r="H48" s="21">
        <v>4074</v>
      </c>
      <c r="I48" s="21">
        <v>0.155</v>
      </c>
      <c r="J48" s="21">
        <v>15</v>
      </c>
      <c r="K48" s="21">
        <v>88</v>
      </c>
      <c r="L48" s="21">
        <v>9.64</v>
      </c>
      <c r="M48" s="21">
        <v>0</v>
      </c>
      <c r="N48" s="21">
        <v>3.3</v>
      </c>
      <c r="O48" s="21">
        <v>585365.73</v>
      </c>
      <c r="P48" s="21">
        <v>81011.520000000004</v>
      </c>
    </row>
    <row r="49" spans="1:16">
      <c r="A49" s="9" t="s">
        <v>34</v>
      </c>
      <c r="B49" s="9">
        <f t="shared" si="0"/>
        <v>2025</v>
      </c>
      <c r="C49" s="9">
        <f t="shared" si="1"/>
        <v>1</v>
      </c>
      <c r="D49" s="10">
        <v>45658</v>
      </c>
      <c r="E49" s="9" t="s">
        <v>20</v>
      </c>
      <c r="F49" s="9" t="s">
        <v>28</v>
      </c>
      <c r="G49" s="21">
        <v>46624.05</v>
      </c>
      <c r="H49" s="21">
        <v>5104</v>
      </c>
      <c r="I49" s="21">
        <v>0.109</v>
      </c>
      <c r="J49" s="21">
        <v>11</v>
      </c>
      <c r="K49" s="21">
        <v>97.3</v>
      </c>
      <c r="L49" s="21">
        <v>3.49</v>
      </c>
      <c r="M49" s="21">
        <v>1</v>
      </c>
      <c r="N49" s="21">
        <v>4.7</v>
      </c>
      <c r="O49" s="21">
        <v>622811.74</v>
      </c>
      <c r="P49" s="21">
        <v>109978.35</v>
      </c>
    </row>
    <row r="50" spans="1:16">
      <c r="A50" s="9" t="s">
        <v>34</v>
      </c>
      <c r="B50" s="9">
        <f t="shared" si="0"/>
        <v>2025</v>
      </c>
      <c r="C50" s="9">
        <f t="shared" si="1"/>
        <v>2</v>
      </c>
      <c r="D50" s="10">
        <v>45689</v>
      </c>
      <c r="E50" s="9" t="s">
        <v>20</v>
      </c>
      <c r="F50" s="9" t="s">
        <v>28</v>
      </c>
      <c r="G50" s="21">
        <v>49710.29</v>
      </c>
      <c r="H50" s="21">
        <v>5559</v>
      </c>
      <c r="I50" s="21">
        <v>0.218</v>
      </c>
      <c r="J50" s="21">
        <v>14</v>
      </c>
      <c r="K50" s="21">
        <v>71</v>
      </c>
      <c r="L50" s="21">
        <v>9.11</v>
      </c>
      <c r="M50" s="21">
        <v>0</v>
      </c>
      <c r="N50" s="21">
        <v>4.5999999999999996</v>
      </c>
      <c r="O50" s="21">
        <v>603297.56999999995</v>
      </c>
      <c r="P50" s="21">
        <v>60592.26</v>
      </c>
    </row>
    <row r="51" spans="1:16">
      <c r="A51" s="9" t="s">
        <v>34</v>
      </c>
      <c r="B51" s="9">
        <f t="shared" si="0"/>
        <v>2025</v>
      </c>
      <c r="C51" s="9">
        <f t="shared" si="1"/>
        <v>3</v>
      </c>
      <c r="D51" s="10">
        <v>45717</v>
      </c>
      <c r="E51" s="9" t="s">
        <v>20</v>
      </c>
      <c r="F51" s="9" t="s">
        <v>28</v>
      </c>
      <c r="G51" s="21">
        <v>48287.85</v>
      </c>
      <c r="H51" s="21">
        <v>5150</v>
      </c>
      <c r="I51" s="21">
        <v>8.0000000000000002E-3</v>
      </c>
      <c r="J51" s="21">
        <v>12</v>
      </c>
      <c r="K51" s="21">
        <v>80.400000000000006</v>
      </c>
      <c r="L51" s="21">
        <v>7.4</v>
      </c>
      <c r="M51" s="21">
        <v>0</v>
      </c>
      <c r="N51" s="21">
        <v>4.5</v>
      </c>
      <c r="O51" s="21">
        <v>625672.86</v>
      </c>
      <c r="P51" s="21">
        <v>118020.12</v>
      </c>
    </row>
    <row r="52" spans="1:16">
      <c r="A52" s="9" t="s">
        <v>34</v>
      </c>
      <c r="B52" s="9">
        <f t="shared" si="0"/>
        <v>2025</v>
      </c>
      <c r="C52" s="9">
        <f t="shared" si="1"/>
        <v>4</v>
      </c>
      <c r="D52" s="10">
        <v>45748</v>
      </c>
      <c r="E52" s="9" t="s">
        <v>20</v>
      </c>
      <c r="F52" s="9" t="s">
        <v>28</v>
      </c>
      <c r="G52" s="21">
        <v>65312.49</v>
      </c>
      <c r="H52" s="21">
        <v>7189</v>
      </c>
      <c r="I52" s="21">
        <v>0.05</v>
      </c>
      <c r="J52" s="21">
        <v>19</v>
      </c>
      <c r="K52" s="21">
        <v>93.7</v>
      </c>
      <c r="L52" s="21">
        <v>7.16</v>
      </c>
      <c r="M52" s="21">
        <v>0</v>
      </c>
      <c r="N52" s="21">
        <v>4.5999999999999996</v>
      </c>
      <c r="O52" s="21">
        <v>773815.14</v>
      </c>
      <c r="P52" s="21">
        <v>133948.39000000001</v>
      </c>
    </row>
    <row r="53" spans="1:16">
      <c r="A53" s="9" t="s">
        <v>35</v>
      </c>
      <c r="B53" s="9">
        <f t="shared" si="0"/>
        <v>2025</v>
      </c>
      <c r="C53" s="9">
        <f t="shared" si="1"/>
        <v>1</v>
      </c>
      <c r="D53" s="10">
        <v>45658</v>
      </c>
      <c r="E53" s="9" t="s">
        <v>27</v>
      </c>
      <c r="F53" s="9" t="s">
        <v>18</v>
      </c>
      <c r="G53" s="21">
        <v>53015.46</v>
      </c>
      <c r="H53" s="21">
        <v>3279</v>
      </c>
      <c r="I53" s="21">
        <v>8.6999999999999994E-2</v>
      </c>
      <c r="J53" s="21">
        <v>9</v>
      </c>
      <c r="K53" s="21">
        <v>84.3</v>
      </c>
      <c r="L53" s="21">
        <v>22.02</v>
      </c>
      <c r="M53" s="21">
        <v>0</v>
      </c>
      <c r="N53" s="21">
        <v>3.9</v>
      </c>
      <c r="O53" s="21">
        <v>463534.25</v>
      </c>
      <c r="P53" s="21">
        <v>81834.539999999994</v>
      </c>
    </row>
    <row r="54" spans="1:16">
      <c r="A54" s="9" t="s">
        <v>35</v>
      </c>
      <c r="B54" s="9">
        <f t="shared" si="0"/>
        <v>2025</v>
      </c>
      <c r="C54" s="9">
        <f t="shared" si="1"/>
        <v>2</v>
      </c>
      <c r="D54" s="10">
        <v>45689</v>
      </c>
      <c r="E54" s="9" t="s">
        <v>27</v>
      </c>
      <c r="F54" s="9" t="s">
        <v>18</v>
      </c>
      <c r="G54" s="21">
        <v>99874.01</v>
      </c>
      <c r="H54" s="21">
        <v>5887</v>
      </c>
      <c r="I54" s="21">
        <v>0.26200000000000001</v>
      </c>
      <c r="J54" s="21">
        <v>14</v>
      </c>
      <c r="K54" s="21">
        <v>88.7</v>
      </c>
      <c r="L54" s="21">
        <v>6.18</v>
      </c>
      <c r="M54" s="21">
        <v>0</v>
      </c>
      <c r="N54" s="21">
        <v>4.7</v>
      </c>
      <c r="O54" s="21">
        <v>746677.75</v>
      </c>
      <c r="P54" s="21">
        <v>122437.84</v>
      </c>
    </row>
    <row r="55" spans="1:16">
      <c r="A55" s="9" t="s">
        <v>35</v>
      </c>
      <c r="B55" s="9">
        <f t="shared" si="0"/>
        <v>2025</v>
      </c>
      <c r="C55" s="9">
        <f t="shared" si="1"/>
        <v>3</v>
      </c>
      <c r="D55" s="10">
        <v>45717</v>
      </c>
      <c r="E55" s="9" t="s">
        <v>27</v>
      </c>
      <c r="F55" s="9" t="s">
        <v>18</v>
      </c>
      <c r="G55" s="21">
        <v>81195.5</v>
      </c>
      <c r="H55" s="21">
        <v>5516</v>
      </c>
      <c r="I55" s="21">
        <v>0.106</v>
      </c>
      <c r="J55" s="21">
        <v>14</v>
      </c>
      <c r="K55" s="21">
        <v>88</v>
      </c>
      <c r="L55" s="21">
        <v>1.76</v>
      </c>
      <c r="M55" s="21">
        <v>0</v>
      </c>
      <c r="N55" s="21">
        <v>4.3</v>
      </c>
      <c r="O55" s="21">
        <v>720852.5</v>
      </c>
      <c r="P55" s="21">
        <v>98565.62</v>
      </c>
    </row>
    <row r="56" spans="1:16">
      <c r="A56" s="9" t="s">
        <v>35</v>
      </c>
      <c r="B56" s="9">
        <f t="shared" si="0"/>
        <v>2025</v>
      </c>
      <c r="C56" s="9">
        <f t="shared" si="1"/>
        <v>4</v>
      </c>
      <c r="D56" s="10">
        <v>45748</v>
      </c>
      <c r="E56" s="9" t="s">
        <v>27</v>
      </c>
      <c r="F56" s="9" t="s">
        <v>18</v>
      </c>
      <c r="G56" s="21">
        <v>27808.6</v>
      </c>
      <c r="H56" s="21">
        <v>2863</v>
      </c>
      <c r="I56" s="21">
        <v>0.08</v>
      </c>
      <c r="J56" s="21">
        <v>13</v>
      </c>
      <c r="K56" s="21">
        <v>89.3</v>
      </c>
      <c r="L56" s="21">
        <v>0.47</v>
      </c>
      <c r="M56" s="21">
        <v>0</v>
      </c>
      <c r="N56" s="21">
        <v>4.0999999999999996</v>
      </c>
      <c r="O56" s="21">
        <v>487464.91</v>
      </c>
      <c r="P56" s="21">
        <v>64562.26</v>
      </c>
    </row>
    <row r="57" spans="1:16">
      <c r="A57" s="9" t="s">
        <v>36</v>
      </c>
      <c r="B57" s="9">
        <f t="shared" si="0"/>
        <v>2025</v>
      </c>
      <c r="C57" s="9">
        <f t="shared" si="1"/>
        <v>1</v>
      </c>
      <c r="D57" s="10">
        <v>45658</v>
      </c>
      <c r="E57" s="9" t="s">
        <v>15</v>
      </c>
      <c r="F57" s="9" t="s">
        <v>21</v>
      </c>
      <c r="G57" s="21">
        <v>19365.060000000001</v>
      </c>
      <c r="H57" s="21">
        <v>2378</v>
      </c>
      <c r="I57" s="21">
        <v>0</v>
      </c>
      <c r="J57" s="21">
        <v>12</v>
      </c>
      <c r="K57" s="21">
        <v>94.8</v>
      </c>
      <c r="L57" s="21">
        <v>0.2</v>
      </c>
      <c r="M57" s="21">
        <v>0</v>
      </c>
      <c r="N57" s="21">
        <v>3.5</v>
      </c>
      <c r="O57" s="21">
        <v>518049.26</v>
      </c>
      <c r="P57" s="21">
        <v>108592.49</v>
      </c>
    </row>
    <row r="58" spans="1:16">
      <c r="A58" s="9" t="s">
        <v>36</v>
      </c>
      <c r="B58" s="9">
        <f t="shared" si="0"/>
        <v>2025</v>
      </c>
      <c r="C58" s="9">
        <f t="shared" si="1"/>
        <v>2</v>
      </c>
      <c r="D58" s="10">
        <v>45689</v>
      </c>
      <c r="E58" s="9" t="s">
        <v>15</v>
      </c>
      <c r="F58" s="9" t="s">
        <v>21</v>
      </c>
      <c r="G58" s="21">
        <v>59405.68</v>
      </c>
      <c r="H58" s="21">
        <v>2515</v>
      </c>
      <c r="I58" s="21">
        <v>3.9E-2</v>
      </c>
      <c r="J58" s="21">
        <v>12</v>
      </c>
      <c r="K58" s="21">
        <v>76</v>
      </c>
      <c r="L58" s="21">
        <v>5.1100000000000003</v>
      </c>
      <c r="M58" s="21">
        <v>0</v>
      </c>
      <c r="N58" s="21">
        <v>3.7</v>
      </c>
      <c r="O58" s="21">
        <v>500298.48</v>
      </c>
      <c r="P58" s="21">
        <v>73461.320000000007</v>
      </c>
    </row>
    <row r="59" spans="1:16">
      <c r="A59" s="9" t="s">
        <v>36</v>
      </c>
      <c r="B59" s="9">
        <f t="shared" si="0"/>
        <v>2025</v>
      </c>
      <c r="C59" s="9">
        <f t="shared" si="1"/>
        <v>3</v>
      </c>
      <c r="D59" s="10">
        <v>45717</v>
      </c>
      <c r="E59" s="9" t="s">
        <v>15</v>
      </c>
      <c r="F59" s="9" t="s">
        <v>21</v>
      </c>
      <c r="G59" s="21">
        <v>118910.48</v>
      </c>
      <c r="H59" s="21">
        <v>4022</v>
      </c>
      <c r="I59" s="21">
        <v>0.13700000000000001</v>
      </c>
      <c r="J59" s="21">
        <v>11</v>
      </c>
      <c r="K59" s="21">
        <v>87.1</v>
      </c>
      <c r="L59" s="21">
        <v>0.2</v>
      </c>
      <c r="M59" s="21">
        <v>0</v>
      </c>
      <c r="N59" s="21">
        <v>3.1</v>
      </c>
      <c r="O59" s="21">
        <v>617291.15</v>
      </c>
      <c r="P59" s="21">
        <v>117782</v>
      </c>
    </row>
    <row r="60" spans="1:16">
      <c r="A60" s="9" t="s">
        <v>36</v>
      </c>
      <c r="B60" s="9">
        <f t="shared" si="0"/>
        <v>2025</v>
      </c>
      <c r="C60" s="9">
        <f t="shared" si="1"/>
        <v>4</v>
      </c>
      <c r="D60" s="10">
        <v>45748</v>
      </c>
      <c r="E60" s="9" t="s">
        <v>15</v>
      </c>
      <c r="F60" s="9" t="s">
        <v>21</v>
      </c>
      <c r="G60" s="21">
        <v>52952.12</v>
      </c>
      <c r="H60" s="21">
        <v>4377</v>
      </c>
      <c r="I60" s="21">
        <v>9.1999999999999998E-2</v>
      </c>
      <c r="J60" s="21">
        <v>14</v>
      </c>
      <c r="K60" s="21">
        <v>88.6</v>
      </c>
      <c r="L60" s="21">
        <v>13.59</v>
      </c>
      <c r="M60" s="21">
        <v>0</v>
      </c>
      <c r="N60" s="21">
        <v>3.1</v>
      </c>
      <c r="O60" s="21">
        <v>553756.43000000005</v>
      </c>
      <c r="P60" s="21">
        <v>86166.77</v>
      </c>
    </row>
    <row r="61" spans="1:16">
      <c r="A61" s="9" t="s">
        <v>37</v>
      </c>
      <c r="B61" s="9">
        <f t="shared" si="0"/>
        <v>2025</v>
      </c>
      <c r="C61" s="9">
        <f t="shared" si="1"/>
        <v>1</v>
      </c>
      <c r="D61" s="10">
        <v>45658</v>
      </c>
      <c r="E61" s="9" t="s">
        <v>24</v>
      </c>
      <c r="F61" s="9" t="s">
        <v>18</v>
      </c>
      <c r="G61" s="21">
        <v>74907.98</v>
      </c>
      <c r="H61" s="21">
        <v>5306</v>
      </c>
      <c r="I61" s="21">
        <v>6.2E-2</v>
      </c>
      <c r="J61" s="21">
        <v>16</v>
      </c>
      <c r="K61" s="21">
        <v>95.6</v>
      </c>
      <c r="L61" s="21">
        <v>1.02</v>
      </c>
      <c r="M61" s="21">
        <v>0</v>
      </c>
      <c r="N61" s="21">
        <v>3.7</v>
      </c>
      <c r="O61" s="21">
        <v>749559.71</v>
      </c>
      <c r="P61" s="21">
        <v>144522.53</v>
      </c>
    </row>
    <row r="62" spans="1:16">
      <c r="A62" s="9" t="s">
        <v>37</v>
      </c>
      <c r="B62" s="9">
        <f t="shared" si="0"/>
        <v>2025</v>
      </c>
      <c r="C62" s="9">
        <f t="shared" si="1"/>
        <v>2</v>
      </c>
      <c r="D62" s="10">
        <v>45689</v>
      </c>
      <c r="E62" s="9" t="s">
        <v>24</v>
      </c>
      <c r="F62" s="9" t="s">
        <v>18</v>
      </c>
      <c r="G62" s="21">
        <v>37284.660000000003</v>
      </c>
      <c r="H62" s="21">
        <v>3928</v>
      </c>
      <c r="I62" s="21">
        <v>7.3999999999999996E-2</v>
      </c>
      <c r="J62" s="21">
        <v>12</v>
      </c>
      <c r="K62" s="21">
        <v>86.5</v>
      </c>
      <c r="L62" s="21">
        <v>1.64</v>
      </c>
      <c r="M62" s="21">
        <v>0</v>
      </c>
      <c r="N62" s="21">
        <v>3.8</v>
      </c>
      <c r="O62" s="21">
        <v>615966.48</v>
      </c>
      <c r="P62" s="21">
        <v>91509.38</v>
      </c>
    </row>
    <row r="63" spans="1:16">
      <c r="A63" s="9" t="s">
        <v>37</v>
      </c>
      <c r="B63" s="9">
        <f t="shared" si="0"/>
        <v>2025</v>
      </c>
      <c r="C63" s="9">
        <f t="shared" si="1"/>
        <v>3</v>
      </c>
      <c r="D63" s="10">
        <v>45717</v>
      </c>
      <c r="E63" s="9" t="s">
        <v>24</v>
      </c>
      <c r="F63" s="9" t="s">
        <v>18</v>
      </c>
      <c r="G63" s="21">
        <v>50343.19</v>
      </c>
      <c r="H63" s="21">
        <v>3845</v>
      </c>
      <c r="I63" s="21">
        <v>0.113</v>
      </c>
      <c r="J63" s="21">
        <v>9</v>
      </c>
      <c r="K63" s="21">
        <v>88.7</v>
      </c>
      <c r="L63" s="21">
        <v>5.15</v>
      </c>
      <c r="M63" s="21">
        <v>0</v>
      </c>
      <c r="N63" s="21">
        <v>3.3</v>
      </c>
      <c r="O63" s="21">
        <v>572011.19999999995</v>
      </c>
      <c r="P63" s="21">
        <v>101409.68</v>
      </c>
    </row>
    <row r="64" spans="1:16">
      <c r="A64" s="9" t="s">
        <v>37</v>
      </c>
      <c r="B64" s="9">
        <f t="shared" si="0"/>
        <v>2025</v>
      </c>
      <c r="C64" s="9">
        <f t="shared" si="1"/>
        <v>4</v>
      </c>
      <c r="D64" s="10">
        <v>45748</v>
      </c>
      <c r="E64" s="9" t="s">
        <v>24</v>
      </c>
      <c r="F64" s="9" t="s">
        <v>18</v>
      </c>
      <c r="G64" s="21">
        <v>74954.47</v>
      </c>
      <c r="H64" s="21">
        <v>6620</v>
      </c>
      <c r="I64" s="21">
        <v>5.3999999999999999E-2</v>
      </c>
      <c r="J64" s="21">
        <v>17</v>
      </c>
      <c r="K64" s="21">
        <v>91.1</v>
      </c>
      <c r="L64" s="21">
        <v>1.1100000000000001</v>
      </c>
      <c r="M64" s="21">
        <v>0</v>
      </c>
      <c r="N64" s="21">
        <v>3.5</v>
      </c>
      <c r="O64" s="21">
        <v>761860.19</v>
      </c>
      <c r="P64" s="21">
        <v>133279.38</v>
      </c>
    </row>
    <row r="65" spans="1:16">
      <c r="A65" s="9" t="s">
        <v>38</v>
      </c>
      <c r="B65" s="9">
        <f t="shared" si="0"/>
        <v>2025</v>
      </c>
      <c r="C65" s="9">
        <f t="shared" si="1"/>
        <v>1</v>
      </c>
      <c r="D65" s="10">
        <v>45658</v>
      </c>
      <c r="E65" s="9" t="s">
        <v>27</v>
      </c>
      <c r="F65" s="9" t="s">
        <v>18</v>
      </c>
      <c r="G65" s="21">
        <v>70040.31</v>
      </c>
      <c r="H65" s="21">
        <v>9175</v>
      </c>
      <c r="I65" s="21">
        <v>0.107</v>
      </c>
      <c r="J65" s="21">
        <v>23</v>
      </c>
      <c r="K65" s="21">
        <v>95.1</v>
      </c>
      <c r="L65" s="21">
        <v>6.08</v>
      </c>
      <c r="M65" s="21">
        <v>1</v>
      </c>
      <c r="N65" s="21">
        <v>3.4</v>
      </c>
      <c r="O65" s="21">
        <v>784502.68</v>
      </c>
      <c r="P65" s="21">
        <v>129519.72</v>
      </c>
    </row>
    <row r="66" spans="1:16">
      <c r="A66" s="9" t="s">
        <v>38</v>
      </c>
      <c r="B66" s="9">
        <f t="shared" ref="B66:B126" si="2">YEAR(D66)</f>
        <v>2025</v>
      </c>
      <c r="C66" s="9">
        <f t="shared" ref="C66:C126" si="3">MONTH(D66)</f>
        <v>2</v>
      </c>
      <c r="D66" s="10">
        <v>45689</v>
      </c>
      <c r="E66" s="9" t="s">
        <v>27</v>
      </c>
      <c r="F66" s="9" t="s">
        <v>18</v>
      </c>
      <c r="G66" s="21">
        <v>51148.69</v>
      </c>
      <c r="H66" s="21">
        <v>7940</v>
      </c>
      <c r="I66" s="21">
        <v>0.156</v>
      </c>
      <c r="J66" s="21">
        <v>18</v>
      </c>
      <c r="K66" s="21">
        <v>93.3</v>
      </c>
      <c r="L66" s="21">
        <v>10.91</v>
      </c>
      <c r="M66" s="21">
        <v>0</v>
      </c>
      <c r="N66" s="21">
        <v>3.6</v>
      </c>
      <c r="O66" s="21">
        <v>717141.55</v>
      </c>
      <c r="P66" s="21">
        <v>134013.60999999999</v>
      </c>
    </row>
    <row r="67" spans="1:16">
      <c r="A67" s="9" t="s">
        <v>38</v>
      </c>
      <c r="B67" s="9">
        <f t="shared" si="2"/>
        <v>2025</v>
      </c>
      <c r="C67" s="9">
        <f t="shared" si="3"/>
        <v>3</v>
      </c>
      <c r="D67" s="10">
        <v>45717</v>
      </c>
      <c r="E67" s="9" t="s">
        <v>27</v>
      </c>
      <c r="F67" s="9" t="s">
        <v>18</v>
      </c>
      <c r="G67" s="21">
        <v>79346.100000000006</v>
      </c>
      <c r="H67" s="21">
        <v>9628</v>
      </c>
      <c r="I67" s="21">
        <v>0.10199999999999999</v>
      </c>
      <c r="J67" s="21">
        <v>20</v>
      </c>
      <c r="K67" s="21">
        <v>99</v>
      </c>
      <c r="L67" s="21">
        <v>19.010000000000002</v>
      </c>
      <c r="M67" s="21">
        <v>1</v>
      </c>
      <c r="N67" s="21">
        <v>3.2</v>
      </c>
      <c r="O67" s="21">
        <v>685379.08</v>
      </c>
      <c r="P67" s="21">
        <v>106898.82</v>
      </c>
    </row>
    <row r="68" spans="1:16">
      <c r="A68" s="9" t="s">
        <v>38</v>
      </c>
      <c r="B68" s="9">
        <f t="shared" si="2"/>
        <v>2025</v>
      </c>
      <c r="C68" s="9">
        <f t="shared" si="3"/>
        <v>4</v>
      </c>
      <c r="D68" s="10">
        <v>45748</v>
      </c>
      <c r="E68" s="9" t="s">
        <v>27</v>
      </c>
      <c r="F68" s="9" t="s">
        <v>18</v>
      </c>
      <c r="G68" s="21">
        <v>42018.400000000001</v>
      </c>
      <c r="H68" s="21">
        <v>8296</v>
      </c>
      <c r="I68" s="21">
        <v>0.115</v>
      </c>
      <c r="J68" s="21">
        <v>17</v>
      </c>
      <c r="K68" s="21">
        <v>91.8</v>
      </c>
      <c r="L68" s="21">
        <v>0.77</v>
      </c>
      <c r="M68" s="21">
        <v>0</v>
      </c>
      <c r="N68" s="21">
        <v>3.4</v>
      </c>
      <c r="O68" s="21">
        <v>740496.65</v>
      </c>
      <c r="P68" s="21">
        <v>128020.9</v>
      </c>
    </row>
    <row r="69" spans="1:16">
      <c r="A69" s="9" t="s">
        <v>39</v>
      </c>
      <c r="B69" s="9">
        <f t="shared" si="2"/>
        <v>2025</v>
      </c>
      <c r="C69" s="9">
        <f t="shared" si="3"/>
        <v>1</v>
      </c>
      <c r="D69" s="10">
        <v>45658</v>
      </c>
      <c r="E69" s="9" t="s">
        <v>15</v>
      </c>
      <c r="F69" s="9" t="s">
        <v>18</v>
      </c>
      <c r="G69" s="21">
        <v>70937.240000000005</v>
      </c>
      <c r="H69" s="21">
        <v>3595</v>
      </c>
      <c r="I69" s="21">
        <v>0.14099999999999999</v>
      </c>
      <c r="J69" s="21">
        <v>11</v>
      </c>
      <c r="K69" s="21">
        <v>88.9</v>
      </c>
      <c r="L69" s="21">
        <v>2.83</v>
      </c>
      <c r="M69" s="21">
        <v>1</v>
      </c>
      <c r="N69" s="21">
        <v>3.3</v>
      </c>
      <c r="O69" s="21">
        <v>661927.14</v>
      </c>
      <c r="P69" s="21">
        <v>79218.570000000007</v>
      </c>
    </row>
    <row r="70" spans="1:16">
      <c r="A70" s="9" t="s">
        <v>39</v>
      </c>
      <c r="B70" s="9">
        <f t="shared" si="2"/>
        <v>2025</v>
      </c>
      <c r="C70" s="9">
        <f t="shared" si="3"/>
        <v>2</v>
      </c>
      <c r="D70" s="10">
        <v>45689</v>
      </c>
      <c r="E70" s="9" t="s">
        <v>15</v>
      </c>
      <c r="F70" s="9" t="s">
        <v>18</v>
      </c>
      <c r="G70" s="21">
        <v>36813.449999999997</v>
      </c>
      <c r="H70" s="21">
        <v>2834</v>
      </c>
      <c r="I70" s="21">
        <v>0.191</v>
      </c>
      <c r="J70" s="21">
        <v>11</v>
      </c>
      <c r="K70" s="21">
        <v>81.8</v>
      </c>
      <c r="L70" s="21">
        <v>2.33</v>
      </c>
      <c r="M70" s="21">
        <v>0</v>
      </c>
      <c r="N70" s="21">
        <v>3.3</v>
      </c>
      <c r="O70" s="21">
        <v>479050.5</v>
      </c>
      <c r="P70" s="21">
        <v>53651.11</v>
      </c>
    </row>
    <row r="71" spans="1:16">
      <c r="A71" s="9" t="s">
        <v>39</v>
      </c>
      <c r="B71" s="9">
        <f t="shared" si="2"/>
        <v>2025</v>
      </c>
      <c r="C71" s="9">
        <f t="shared" si="3"/>
        <v>3</v>
      </c>
      <c r="D71" s="10">
        <v>45717</v>
      </c>
      <c r="E71" s="9" t="s">
        <v>15</v>
      </c>
      <c r="F71" s="9" t="s">
        <v>18</v>
      </c>
      <c r="G71" s="21">
        <v>60571.82</v>
      </c>
      <c r="H71" s="21">
        <v>3193</v>
      </c>
      <c r="I71" s="21">
        <v>0.19700000000000001</v>
      </c>
      <c r="J71" s="21">
        <v>7</v>
      </c>
      <c r="K71" s="21">
        <v>99</v>
      </c>
      <c r="L71" s="21">
        <v>1.43</v>
      </c>
      <c r="M71" s="21">
        <v>0</v>
      </c>
      <c r="N71" s="21">
        <v>3.2</v>
      </c>
      <c r="O71" s="21">
        <v>605023.87</v>
      </c>
      <c r="P71" s="21">
        <v>98545.81</v>
      </c>
    </row>
    <row r="72" spans="1:16">
      <c r="A72" s="9" t="s">
        <v>40</v>
      </c>
      <c r="B72" s="9">
        <f t="shared" si="2"/>
        <v>2025</v>
      </c>
      <c r="C72" s="9">
        <f t="shared" si="3"/>
        <v>1</v>
      </c>
      <c r="D72" s="10">
        <v>45658</v>
      </c>
      <c r="E72" s="9" t="s">
        <v>15</v>
      </c>
      <c r="F72" s="9" t="s">
        <v>16</v>
      </c>
      <c r="G72" s="21">
        <v>46201.46</v>
      </c>
      <c r="H72" s="21">
        <v>5918</v>
      </c>
      <c r="I72" s="21">
        <v>0.27700000000000002</v>
      </c>
      <c r="J72" s="21">
        <v>13</v>
      </c>
      <c r="K72" s="21">
        <v>78.8</v>
      </c>
      <c r="L72" s="21">
        <v>4.91</v>
      </c>
      <c r="M72" s="21">
        <v>0</v>
      </c>
      <c r="N72" s="21">
        <v>4.5</v>
      </c>
      <c r="O72" s="21">
        <v>616069.41</v>
      </c>
      <c r="P72" s="21">
        <v>54453.99</v>
      </c>
    </row>
    <row r="73" spans="1:16">
      <c r="A73" s="9" t="s">
        <v>40</v>
      </c>
      <c r="B73" s="9">
        <f t="shared" si="2"/>
        <v>2025</v>
      </c>
      <c r="C73" s="9">
        <f t="shared" si="3"/>
        <v>2</v>
      </c>
      <c r="D73" s="10">
        <v>45689</v>
      </c>
      <c r="E73" s="9" t="s">
        <v>15</v>
      </c>
      <c r="F73" s="9" t="s">
        <v>16</v>
      </c>
      <c r="G73" s="21">
        <v>53762.92</v>
      </c>
      <c r="H73" s="21">
        <v>6821</v>
      </c>
      <c r="I73" s="21">
        <v>6.6000000000000003E-2</v>
      </c>
      <c r="J73" s="21">
        <v>19</v>
      </c>
      <c r="K73" s="21">
        <v>94.6</v>
      </c>
      <c r="L73" s="21">
        <v>7.03</v>
      </c>
      <c r="M73" s="21">
        <v>0</v>
      </c>
      <c r="N73" s="21">
        <v>4.4000000000000004</v>
      </c>
      <c r="O73" s="21">
        <v>630829.93999999994</v>
      </c>
      <c r="P73" s="21">
        <v>117090.02</v>
      </c>
    </row>
    <row r="74" spans="1:16">
      <c r="A74" s="9" t="s">
        <v>40</v>
      </c>
      <c r="B74" s="9">
        <f t="shared" si="2"/>
        <v>2025</v>
      </c>
      <c r="C74" s="9">
        <f t="shared" si="3"/>
        <v>3</v>
      </c>
      <c r="D74" s="10">
        <v>45717</v>
      </c>
      <c r="E74" s="9" t="s">
        <v>15</v>
      </c>
      <c r="F74" s="9" t="s">
        <v>16</v>
      </c>
      <c r="G74" s="21">
        <v>70144.78</v>
      </c>
      <c r="H74" s="21">
        <v>6806</v>
      </c>
      <c r="I74" s="21">
        <v>0.17799999999999999</v>
      </c>
      <c r="J74" s="21">
        <v>20</v>
      </c>
      <c r="K74" s="21">
        <v>93.1</v>
      </c>
      <c r="L74" s="21">
        <v>0.28000000000000003</v>
      </c>
      <c r="M74" s="21">
        <v>1</v>
      </c>
      <c r="N74" s="21">
        <v>4.3</v>
      </c>
      <c r="O74" s="21">
        <v>788087.68</v>
      </c>
      <c r="P74" s="21">
        <v>116803.42</v>
      </c>
    </row>
    <row r="75" spans="1:16">
      <c r="A75" s="9" t="s">
        <v>40</v>
      </c>
      <c r="B75" s="9">
        <f t="shared" si="2"/>
        <v>2025</v>
      </c>
      <c r="C75" s="9">
        <f t="shared" si="3"/>
        <v>4</v>
      </c>
      <c r="D75" s="10">
        <v>45748</v>
      </c>
      <c r="E75" s="9" t="s">
        <v>15</v>
      </c>
      <c r="F75" s="9" t="s">
        <v>16</v>
      </c>
      <c r="G75" s="21">
        <v>58749.63</v>
      </c>
      <c r="H75" s="21">
        <v>8252</v>
      </c>
      <c r="I75" s="21">
        <v>0.20300000000000001</v>
      </c>
      <c r="J75" s="21">
        <v>20</v>
      </c>
      <c r="K75" s="21">
        <v>85.2</v>
      </c>
      <c r="L75" s="21">
        <v>3.61</v>
      </c>
      <c r="M75" s="21">
        <v>0</v>
      </c>
      <c r="N75" s="21">
        <v>4.5</v>
      </c>
      <c r="O75" s="21">
        <v>680840.36</v>
      </c>
      <c r="P75" s="21">
        <v>68007.679999999993</v>
      </c>
    </row>
    <row r="76" spans="1:16">
      <c r="A76" s="9" t="s">
        <v>41</v>
      </c>
      <c r="B76" s="9">
        <f t="shared" si="2"/>
        <v>2025</v>
      </c>
      <c r="C76" s="9">
        <f t="shared" si="3"/>
        <v>1</v>
      </c>
      <c r="D76" s="10">
        <v>45658</v>
      </c>
      <c r="E76" s="9" t="s">
        <v>24</v>
      </c>
      <c r="F76" s="9" t="s">
        <v>18</v>
      </c>
      <c r="G76" s="21">
        <v>56973.18</v>
      </c>
      <c r="H76" s="21">
        <v>6662</v>
      </c>
      <c r="I76" s="21">
        <v>0.1</v>
      </c>
      <c r="J76" s="21">
        <v>15</v>
      </c>
      <c r="K76" s="21">
        <v>77.7</v>
      </c>
      <c r="L76" s="21">
        <v>7.52</v>
      </c>
      <c r="M76" s="21">
        <v>1</v>
      </c>
      <c r="N76" s="21">
        <v>3.2</v>
      </c>
      <c r="O76" s="21">
        <v>643657.47</v>
      </c>
      <c r="P76" s="21">
        <v>87022.45</v>
      </c>
    </row>
    <row r="77" spans="1:16">
      <c r="A77" s="9" t="s">
        <v>41</v>
      </c>
      <c r="B77" s="9">
        <f t="shared" si="2"/>
        <v>2025</v>
      </c>
      <c r="C77" s="9">
        <f t="shared" si="3"/>
        <v>2</v>
      </c>
      <c r="D77" s="10">
        <v>45689</v>
      </c>
      <c r="E77" s="9" t="s">
        <v>24</v>
      </c>
      <c r="F77" s="9" t="s">
        <v>18</v>
      </c>
      <c r="G77" s="21">
        <v>54872.82</v>
      </c>
      <c r="H77" s="21">
        <v>5962</v>
      </c>
      <c r="I77" s="21">
        <v>6.4000000000000001E-2</v>
      </c>
      <c r="J77" s="21">
        <v>12</v>
      </c>
      <c r="K77" s="21">
        <v>85.4</v>
      </c>
      <c r="L77" s="21">
        <v>2.58</v>
      </c>
      <c r="M77" s="21">
        <v>0</v>
      </c>
      <c r="N77" s="21">
        <v>2.9</v>
      </c>
      <c r="O77" s="21">
        <v>691112.6</v>
      </c>
      <c r="P77" s="21">
        <v>109212.83</v>
      </c>
    </row>
    <row r="78" spans="1:16">
      <c r="A78" s="9" t="s">
        <v>41</v>
      </c>
      <c r="B78" s="9">
        <f t="shared" si="2"/>
        <v>2025</v>
      </c>
      <c r="C78" s="9">
        <f t="shared" si="3"/>
        <v>3</v>
      </c>
      <c r="D78" s="10">
        <v>45717</v>
      </c>
      <c r="E78" s="9" t="s">
        <v>24</v>
      </c>
      <c r="F78" s="9" t="s">
        <v>18</v>
      </c>
      <c r="G78" s="21">
        <v>80562.81</v>
      </c>
      <c r="H78" s="21">
        <v>7470</v>
      </c>
      <c r="I78" s="21">
        <v>0.17199999999999999</v>
      </c>
      <c r="J78" s="21">
        <v>16</v>
      </c>
      <c r="K78" s="21">
        <v>83.5</v>
      </c>
      <c r="L78" s="21">
        <v>2.29</v>
      </c>
      <c r="M78" s="21">
        <v>0</v>
      </c>
      <c r="N78" s="21">
        <v>3.3</v>
      </c>
      <c r="O78" s="21">
        <v>776922.17</v>
      </c>
      <c r="P78" s="21">
        <v>150701.93</v>
      </c>
    </row>
    <row r="79" spans="1:16">
      <c r="A79" s="9" t="s">
        <v>41</v>
      </c>
      <c r="B79" s="9">
        <f t="shared" si="2"/>
        <v>2025</v>
      </c>
      <c r="C79" s="9">
        <f t="shared" si="3"/>
        <v>4</v>
      </c>
      <c r="D79" s="10">
        <v>45748</v>
      </c>
      <c r="E79" s="9" t="s">
        <v>24</v>
      </c>
      <c r="F79" s="9" t="s">
        <v>18</v>
      </c>
      <c r="G79" s="21">
        <v>77999.899999999994</v>
      </c>
      <c r="H79" s="21">
        <v>5974</v>
      </c>
      <c r="I79" s="21">
        <v>0.252</v>
      </c>
      <c r="J79" s="21">
        <v>14</v>
      </c>
      <c r="K79" s="21">
        <v>81.3</v>
      </c>
      <c r="L79" s="21">
        <v>2.39</v>
      </c>
      <c r="M79" s="21">
        <v>0</v>
      </c>
      <c r="N79" s="21">
        <v>3.2</v>
      </c>
      <c r="O79" s="21">
        <v>636561.34</v>
      </c>
      <c r="P79" s="21">
        <v>93861.06</v>
      </c>
    </row>
    <row r="80" spans="1:16">
      <c r="A80" s="9" t="s">
        <v>42</v>
      </c>
      <c r="B80" s="9">
        <f t="shared" si="2"/>
        <v>2025</v>
      </c>
      <c r="C80" s="9">
        <f t="shared" si="3"/>
        <v>1</v>
      </c>
      <c r="D80" s="10">
        <v>45658</v>
      </c>
      <c r="E80" s="9" t="s">
        <v>27</v>
      </c>
      <c r="F80" s="9" t="s">
        <v>28</v>
      </c>
      <c r="G80" s="21">
        <v>60881.01</v>
      </c>
      <c r="H80" s="21">
        <v>5410</v>
      </c>
      <c r="I80" s="21">
        <v>0.17899999999999999</v>
      </c>
      <c r="J80" s="21">
        <v>15</v>
      </c>
      <c r="K80" s="21">
        <v>83.9</v>
      </c>
      <c r="L80" s="21">
        <v>5.24</v>
      </c>
      <c r="M80" s="21">
        <v>0</v>
      </c>
      <c r="N80" s="21">
        <v>4.5999999999999996</v>
      </c>
      <c r="O80" s="21">
        <v>621369.57999999996</v>
      </c>
      <c r="P80" s="21">
        <v>85493.64</v>
      </c>
    </row>
    <row r="81" spans="1:16">
      <c r="A81" s="9" t="s">
        <v>42</v>
      </c>
      <c r="B81" s="9">
        <f t="shared" si="2"/>
        <v>2025</v>
      </c>
      <c r="C81" s="9">
        <f t="shared" si="3"/>
        <v>2</v>
      </c>
      <c r="D81" s="10">
        <v>45689</v>
      </c>
      <c r="E81" s="9" t="s">
        <v>27</v>
      </c>
      <c r="F81" s="9" t="s">
        <v>28</v>
      </c>
      <c r="G81" s="21">
        <v>60628.38</v>
      </c>
      <c r="H81" s="21">
        <v>4451</v>
      </c>
      <c r="I81" s="21">
        <v>9.5000000000000001E-2</v>
      </c>
      <c r="J81" s="21">
        <v>10</v>
      </c>
      <c r="K81" s="21">
        <v>89.6</v>
      </c>
      <c r="L81" s="21">
        <v>3.17</v>
      </c>
      <c r="M81" s="21">
        <v>0</v>
      </c>
      <c r="N81" s="21">
        <v>4.5999999999999996</v>
      </c>
      <c r="O81" s="21">
        <v>682208.01</v>
      </c>
      <c r="P81" s="21">
        <v>110318.84</v>
      </c>
    </row>
    <row r="82" spans="1:16">
      <c r="A82" s="9" t="s">
        <v>42</v>
      </c>
      <c r="B82" s="9">
        <f t="shared" si="2"/>
        <v>2025</v>
      </c>
      <c r="C82" s="9">
        <f t="shared" si="3"/>
        <v>3</v>
      </c>
      <c r="D82" s="10">
        <v>45717</v>
      </c>
      <c r="E82" s="9" t="s">
        <v>27</v>
      </c>
      <c r="F82" s="9" t="s">
        <v>28</v>
      </c>
      <c r="G82" s="21">
        <v>72731.14</v>
      </c>
      <c r="H82" s="21">
        <v>4644</v>
      </c>
      <c r="I82" s="21">
        <v>8.4000000000000005E-2</v>
      </c>
      <c r="J82" s="21">
        <v>15</v>
      </c>
      <c r="K82" s="21">
        <v>87.1</v>
      </c>
      <c r="L82" s="21">
        <v>2.66</v>
      </c>
      <c r="M82" s="21">
        <v>0</v>
      </c>
      <c r="N82" s="21">
        <v>4.5999999999999996</v>
      </c>
      <c r="O82" s="21">
        <v>727241.86</v>
      </c>
      <c r="P82" s="21">
        <v>155810.29999999999</v>
      </c>
    </row>
    <row r="83" spans="1:16">
      <c r="A83" s="9" t="s">
        <v>42</v>
      </c>
      <c r="B83" s="9">
        <f t="shared" si="2"/>
        <v>2025</v>
      </c>
      <c r="C83" s="9">
        <f t="shared" si="3"/>
        <v>4</v>
      </c>
      <c r="D83" s="10">
        <v>45748</v>
      </c>
      <c r="E83" s="9" t="s">
        <v>27</v>
      </c>
      <c r="F83" s="9" t="s">
        <v>28</v>
      </c>
      <c r="G83" s="21">
        <v>36475.71</v>
      </c>
      <c r="H83" s="21">
        <v>3559</v>
      </c>
      <c r="I83" s="21">
        <v>0.03</v>
      </c>
      <c r="J83" s="21">
        <v>8</v>
      </c>
      <c r="K83" s="21">
        <v>83.6</v>
      </c>
      <c r="L83" s="21">
        <v>1.41</v>
      </c>
      <c r="M83" s="21">
        <v>0</v>
      </c>
      <c r="N83" s="21">
        <v>4.2</v>
      </c>
      <c r="O83" s="21">
        <v>569100.78</v>
      </c>
      <c r="P83" s="21">
        <v>104808.78</v>
      </c>
    </row>
    <row r="84" spans="1:16">
      <c r="A84" s="9" t="s">
        <v>43</v>
      </c>
      <c r="B84" s="9">
        <f t="shared" si="2"/>
        <v>2025</v>
      </c>
      <c r="C84" s="9">
        <f t="shared" si="3"/>
        <v>1</v>
      </c>
      <c r="D84" s="10">
        <v>45658</v>
      </c>
      <c r="E84" s="9" t="s">
        <v>27</v>
      </c>
      <c r="F84" s="9" t="s">
        <v>18</v>
      </c>
      <c r="G84" s="21">
        <v>55388.11</v>
      </c>
      <c r="H84" s="21">
        <v>3091</v>
      </c>
      <c r="I84" s="21">
        <v>0.108</v>
      </c>
      <c r="J84" s="21">
        <v>7</v>
      </c>
      <c r="K84" s="21">
        <v>85.4</v>
      </c>
      <c r="L84" s="21">
        <v>7.34</v>
      </c>
      <c r="M84" s="21">
        <v>0</v>
      </c>
      <c r="N84" s="21">
        <v>4.9000000000000004</v>
      </c>
      <c r="O84" s="21">
        <v>574436.29</v>
      </c>
      <c r="P84" s="21">
        <v>80271.990000000005</v>
      </c>
    </row>
    <row r="85" spans="1:16">
      <c r="A85" s="9" t="s">
        <v>43</v>
      </c>
      <c r="B85" s="9">
        <f t="shared" si="2"/>
        <v>2025</v>
      </c>
      <c r="C85" s="9">
        <f t="shared" si="3"/>
        <v>3</v>
      </c>
      <c r="D85" s="10">
        <v>45717</v>
      </c>
      <c r="E85" s="9" t="s">
        <v>27</v>
      </c>
      <c r="F85" s="9" t="s">
        <v>18</v>
      </c>
      <c r="G85" s="21">
        <v>78231.91</v>
      </c>
      <c r="H85" s="21">
        <v>3788</v>
      </c>
      <c r="I85" s="21">
        <v>5.8999999999999997E-2</v>
      </c>
      <c r="J85" s="21">
        <v>11</v>
      </c>
      <c r="K85" s="21">
        <v>88.5</v>
      </c>
      <c r="L85" s="21">
        <v>15.51</v>
      </c>
      <c r="M85" s="21">
        <v>0</v>
      </c>
      <c r="N85" s="21">
        <v>4.3</v>
      </c>
      <c r="O85" s="21">
        <v>614596.31999999995</v>
      </c>
      <c r="P85" s="21">
        <v>131199.41</v>
      </c>
    </row>
    <row r="86" spans="1:16">
      <c r="A86" s="9" t="s">
        <v>43</v>
      </c>
      <c r="B86" s="9">
        <f t="shared" si="2"/>
        <v>2025</v>
      </c>
      <c r="C86" s="9">
        <f t="shared" si="3"/>
        <v>4</v>
      </c>
      <c r="D86" s="10">
        <v>45748</v>
      </c>
      <c r="E86" s="9" t="s">
        <v>27</v>
      </c>
      <c r="F86" s="9" t="s">
        <v>18</v>
      </c>
      <c r="G86" s="21">
        <v>18996.32</v>
      </c>
      <c r="H86" s="21">
        <v>1260</v>
      </c>
      <c r="I86" s="21">
        <v>0.14499999999999999</v>
      </c>
      <c r="J86" s="21">
        <v>9</v>
      </c>
      <c r="K86" s="21">
        <v>86.4</v>
      </c>
      <c r="L86" s="21">
        <v>4.3099999999999996</v>
      </c>
      <c r="M86" s="21">
        <v>0</v>
      </c>
      <c r="N86" s="21">
        <v>4.5999999999999996</v>
      </c>
      <c r="O86" s="21">
        <v>450711.92</v>
      </c>
      <c r="P86" s="21">
        <v>90043.76</v>
      </c>
    </row>
    <row r="87" spans="1:16">
      <c r="A87" s="9" t="s">
        <v>44</v>
      </c>
      <c r="B87" s="9">
        <f t="shared" si="2"/>
        <v>2025</v>
      </c>
      <c r="C87" s="9">
        <f t="shared" si="3"/>
        <v>1</v>
      </c>
      <c r="D87" s="10">
        <v>45658</v>
      </c>
      <c r="E87" s="9" t="s">
        <v>24</v>
      </c>
      <c r="F87" s="9" t="s">
        <v>28</v>
      </c>
      <c r="G87" s="21">
        <v>50517.94</v>
      </c>
      <c r="H87" s="21">
        <v>7024</v>
      </c>
      <c r="I87" s="21">
        <v>2.9000000000000001E-2</v>
      </c>
      <c r="J87" s="21">
        <v>18</v>
      </c>
      <c r="K87" s="21">
        <v>79.2</v>
      </c>
      <c r="L87" s="21">
        <v>6.61</v>
      </c>
      <c r="M87" s="21">
        <v>1</v>
      </c>
      <c r="N87" s="21">
        <v>4.0999999999999996</v>
      </c>
      <c r="O87" s="21">
        <v>711213.46</v>
      </c>
      <c r="P87" s="21">
        <v>105863.26</v>
      </c>
    </row>
    <row r="88" spans="1:16">
      <c r="A88" s="9" t="s">
        <v>44</v>
      </c>
      <c r="B88" s="9">
        <f t="shared" si="2"/>
        <v>2025</v>
      </c>
      <c r="C88" s="9">
        <f t="shared" si="3"/>
        <v>2</v>
      </c>
      <c r="D88" s="10">
        <v>45689</v>
      </c>
      <c r="E88" s="9" t="s">
        <v>24</v>
      </c>
      <c r="F88" s="9" t="s">
        <v>28</v>
      </c>
      <c r="G88" s="21">
        <v>141540.29</v>
      </c>
      <c r="H88" s="21">
        <v>5400</v>
      </c>
      <c r="I88" s="21">
        <v>1.2999999999999999E-2</v>
      </c>
      <c r="J88" s="21">
        <v>12</v>
      </c>
      <c r="K88" s="21">
        <v>87</v>
      </c>
      <c r="L88" s="21">
        <v>4.26</v>
      </c>
      <c r="M88" s="21">
        <v>0</v>
      </c>
      <c r="N88" s="21">
        <v>4.5</v>
      </c>
      <c r="O88" s="21">
        <v>627171.9</v>
      </c>
      <c r="P88" s="21">
        <v>105772.75</v>
      </c>
    </row>
    <row r="89" spans="1:16">
      <c r="A89" s="9" t="s">
        <v>44</v>
      </c>
      <c r="B89" s="9">
        <f t="shared" si="2"/>
        <v>2025</v>
      </c>
      <c r="C89" s="9">
        <f t="shared" si="3"/>
        <v>3</v>
      </c>
      <c r="D89" s="10">
        <v>45717</v>
      </c>
      <c r="E89" s="9" t="s">
        <v>24</v>
      </c>
      <c r="F89" s="9" t="s">
        <v>28</v>
      </c>
      <c r="G89" s="21">
        <v>82116.19</v>
      </c>
      <c r="H89" s="21">
        <v>5988</v>
      </c>
      <c r="I89" s="21">
        <v>0.04</v>
      </c>
      <c r="J89" s="21">
        <v>17</v>
      </c>
      <c r="K89" s="21">
        <v>91.8</v>
      </c>
      <c r="L89" s="21">
        <v>5.75</v>
      </c>
      <c r="M89" s="21">
        <v>0</v>
      </c>
      <c r="N89" s="21">
        <v>4.7</v>
      </c>
      <c r="O89" s="21">
        <v>739852.58</v>
      </c>
      <c r="P89" s="21">
        <v>129386.43</v>
      </c>
    </row>
    <row r="90" spans="1:16">
      <c r="A90" s="9" t="s">
        <v>44</v>
      </c>
      <c r="B90" s="9">
        <f t="shared" si="2"/>
        <v>2025</v>
      </c>
      <c r="C90" s="9">
        <f t="shared" si="3"/>
        <v>4</v>
      </c>
      <c r="D90" s="10">
        <v>45748</v>
      </c>
      <c r="E90" s="9" t="s">
        <v>24</v>
      </c>
      <c r="F90" s="9" t="s">
        <v>28</v>
      </c>
      <c r="G90" s="21">
        <v>31207.51</v>
      </c>
      <c r="H90" s="21">
        <v>3701</v>
      </c>
      <c r="I90" s="21">
        <v>4.2999999999999997E-2</v>
      </c>
      <c r="J90" s="21">
        <v>11</v>
      </c>
      <c r="K90" s="21">
        <v>84.7</v>
      </c>
      <c r="L90" s="21">
        <v>0.33</v>
      </c>
      <c r="M90" s="21">
        <v>0</v>
      </c>
      <c r="N90" s="21">
        <v>4.3</v>
      </c>
      <c r="O90" s="21">
        <v>586307.22</v>
      </c>
      <c r="P90" s="21">
        <v>73927.850000000006</v>
      </c>
    </row>
    <row r="91" spans="1:16">
      <c r="A91" s="9" t="s">
        <v>45</v>
      </c>
      <c r="B91" s="9">
        <f t="shared" si="2"/>
        <v>2025</v>
      </c>
      <c r="C91" s="9">
        <f t="shared" si="3"/>
        <v>1</v>
      </c>
      <c r="D91" s="10">
        <v>45658</v>
      </c>
      <c r="E91" s="9" t="s">
        <v>27</v>
      </c>
      <c r="F91" s="9" t="s">
        <v>16</v>
      </c>
      <c r="G91" s="21">
        <v>38966.589999999997</v>
      </c>
      <c r="H91" s="21">
        <v>4509</v>
      </c>
      <c r="I91" s="21">
        <v>0.19400000000000001</v>
      </c>
      <c r="J91" s="21">
        <v>14</v>
      </c>
      <c r="K91" s="21">
        <v>91.1</v>
      </c>
      <c r="L91" s="21">
        <v>2.92</v>
      </c>
      <c r="M91" s="21">
        <v>0</v>
      </c>
      <c r="N91" s="21">
        <v>4.5999999999999996</v>
      </c>
      <c r="O91" s="21">
        <v>585937.48</v>
      </c>
      <c r="P91" s="21">
        <v>82624.2</v>
      </c>
    </row>
    <row r="92" spans="1:16">
      <c r="A92" s="9" t="s">
        <v>45</v>
      </c>
      <c r="B92" s="9">
        <f t="shared" si="2"/>
        <v>2025</v>
      </c>
      <c r="C92" s="9">
        <f t="shared" si="3"/>
        <v>2</v>
      </c>
      <c r="D92" s="10">
        <v>45689</v>
      </c>
      <c r="E92" s="9" t="s">
        <v>27</v>
      </c>
      <c r="F92" s="9" t="s">
        <v>16</v>
      </c>
      <c r="G92" s="21">
        <v>67439.3</v>
      </c>
      <c r="H92" s="21">
        <v>6477</v>
      </c>
      <c r="I92" s="21">
        <v>0</v>
      </c>
      <c r="J92" s="21">
        <v>16</v>
      </c>
      <c r="K92" s="21">
        <v>90.9</v>
      </c>
      <c r="L92" s="21">
        <v>1.64</v>
      </c>
      <c r="M92" s="21">
        <v>0</v>
      </c>
      <c r="N92" s="21">
        <v>4.5</v>
      </c>
      <c r="O92" s="21">
        <v>753473.55</v>
      </c>
      <c r="P92" s="21">
        <v>151527.22</v>
      </c>
    </row>
    <row r="93" spans="1:16">
      <c r="A93" s="9" t="s">
        <v>45</v>
      </c>
      <c r="B93" s="9">
        <f t="shared" si="2"/>
        <v>2025</v>
      </c>
      <c r="C93" s="9">
        <f t="shared" si="3"/>
        <v>3</v>
      </c>
      <c r="D93" s="10">
        <v>45717</v>
      </c>
      <c r="E93" s="9" t="s">
        <v>27</v>
      </c>
      <c r="F93" s="9" t="s">
        <v>16</v>
      </c>
      <c r="G93" s="21">
        <v>86421.88</v>
      </c>
      <c r="H93" s="21">
        <v>7970</v>
      </c>
      <c r="I93" s="21">
        <v>7.2999999999999995E-2</v>
      </c>
      <c r="J93" s="21">
        <v>17</v>
      </c>
      <c r="K93" s="21">
        <v>91.3</v>
      </c>
      <c r="L93" s="21">
        <v>0.8</v>
      </c>
      <c r="M93" s="21">
        <v>0</v>
      </c>
      <c r="N93" s="21">
        <v>5</v>
      </c>
      <c r="O93" s="21">
        <v>838250.32</v>
      </c>
      <c r="P93" s="21">
        <v>122939.34</v>
      </c>
    </row>
    <row r="94" spans="1:16">
      <c r="A94" s="9" t="s">
        <v>45</v>
      </c>
      <c r="B94" s="9">
        <f t="shared" si="2"/>
        <v>2025</v>
      </c>
      <c r="C94" s="9">
        <f t="shared" si="3"/>
        <v>4</v>
      </c>
      <c r="D94" s="10">
        <v>45748</v>
      </c>
      <c r="E94" s="9" t="s">
        <v>27</v>
      </c>
      <c r="F94" s="9" t="s">
        <v>16</v>
      </c>
      <c r="G94" s="21">
        <v>9534.65</v>
      </c>
      <c r="H94" s="21">
        <v>6057</v>
      </c>
      <c r="I94" s="21">
        <v>7.3999999999999996E-2</v>
      </c>
      <c r="J94" s="21">
        <v>15</v>
      </c>
      <c r="K94" s="21">
        <v>94.1</v>
      </c>
      <c r="L94" s="21">
        <v>5.79</v>
      </c>
      <c r="M94" s="21">
        <v>0</v>
      </c>
      <c r="N94" s="21">
        <v>4.5</v>
      </c>
      <c r="O94" s="21">
        <v>607898.12</v>
      </c>
      <c r="P94" s="21">
        <v>135404.85</v>
      </c>
    </row>
    <row r="95" spans="1:16">
      <c r="A95" s="9" t="s">
        <v>46</v>
      </c>
      <c r="B95" s="9">
        <f t="shared" si="2"/>
        <v>2025</v>
      </c>
      <c r="C95" s="9">
        <f t="shared" si="3"/>
        <v>1</v>
      </c>
      <c r="D95" s="10">
        <v>45658</v>
      </c>
      <c r="E95" s="9" t="s">
        <v>27</v>
      </c>
      <c r="F95" s="9" t="s">
        <v>28</v>
      </c>
      <c r="G95" s="21">
        <v>61132.07</v>
      </c>
      <c r="H95" s="21">
        <v>6394</v>
      </c>
      <c r="I95" s="21">
        <v>0.16300000000000001</v>
      </c>
      <c r="J95" s="21">
        <v>19</v>
      </c>
      <c r="K95" s="21">
        <v>91</v>
      </c>
      <c r="L95" s="21">
        <v>19.600000000000001</v>
      </c>
      <c r="M95" s="21">
        <v>0</v>
      </c>
      <c r="N95" s="21">
        <v>4.4000000000000004</v>
      </c>
      <c r="O95" s="21">
        <v>691113.62</v>
      </c>
      <c r="P95" s="21">
        <v>135145.44</v>
      </c>
    </row>
    <row r="96" spans="1:16">
      <c r="A96" s="9" t="s">
        <v>46</v>
      </c>
      <c r="B96" s="9">
        <f t="shared" si="2"/>
        <v>2025</v>
      </c>
      <c r="C96" s="9">
        <f t="shared" si="3"/>
        <v>2</v>
      </c>
      <c r="D96" s="10">
        <v>45689</v>
      </c>
      <c r="E96" s="9" t="s">
        <v>27</v>
      </c>
      <c r="F96" s="9" t="s">
        <v>28</v>
      </c>
      <c r="G96" s="21">
        <v>78839.39</v>
      </c>
      <c r="H96" s="21">
        <v>5150</v>
      </c>
      <c r="I96" s="21">
        <v>0.17100000000000001</v>
      </c>
      <c r="J96" s="21">
        <v>13</v>
      </c>
      <c r="K96" s="21">
        <v>85.8</v>
      </c>
      <c r="L96" s="21">
        <v>7.57</v>
      </c>
      <c r="M96" s="21">
        <v>0</v>
      </c>
      <c r="N96" s="21">
        <v>4.3</v>
      </c>
      <c r="O96" s="21">
        <v>735509.4</v>
      </c>
      <c r="P96" s="21">
        <v>83895.96</v>
      </c>
    </row>
    <row r="97" spans="1:16">
      <c r="A97" s="9" t="s">
        <v>46</v>
      </c>
      <c r="B97" s="9">
        <f t="shared" si="2"/>
        <v>2025</v>
      </c>
      <c r="C97" s="9">
        <f t="shared" si="3"/>
        <v>4</v>
      </c>
      <c r="D97" s="10">
        <v>45748</v>
      </c>
      <c r="E97" s="9" t="s">
        <v>27</v>
      </c>
      <c r="F97" s="9" t="s">
        <v>28</v>
      </c>
      <c r="G97" s="21">
        <v>55101.1</v>
      </c>
      <c r="H97" s="21">
        <v>5281</v>
      </c>
      <c r="I97" s="21">
        <v>0.189</v>
      </c>
      <c r="J97" s="21">
        <v>11</v>
      </c>
      <c r="K97" s="21">
        <v>91</v>
      </c>
      <c r="L97" s="21">
        <v>2.7</v>
      </c>
      <c r="M97" s="21">
        <v>0</v>
      </c>
      <c r="N97" s="21">
        <v>4.4000000000000004</v>
      </c>
      <c r="O97" s="21">
        <v>675177.68</v>
      </c>
      <c r="P97" s="21">
        <v>105628.68</v>
      </c>
    </row>
    <row r="98" spans="1:16">
      <c r="A98" s="9" t="s">
        <v>47</v>
      </c>
      <c r="B98" s="9">
        <f t="shared" si="2"/>
        <v>2025</v>
      </c>
      <c r="C98" s="9">
        <f t="shared" si="3"/>
        <v>1</v>
      </c>
      <c r="D98" s="10">
        <v>45658</v>
      </c>
      <c r="E98" s="9" t="s">
        <v>15</v>
      </c>
      <c r="F98" s="9" t="s">
        <v>28</v>
      </c>
      <c r="G98" s="21">
        <v>53084.76</v>
      </c>
      <c r="H98" s="21">
        <v>3642</v>
      </c>
      <c r="I98" s="21">
        <v>0.15</v>
      </c>
      <c r="J98" s="21">
        <v>12</v>
      </c>
      <c r="K98" s="21">
        <v>91.4</v>
      </c>
      <c r="L98" s="21">
        <v>0.2</v>
      </c>
      <c r="M98" s="21">
        <v>0</v>
      </c>
      <c r="N98" s="21">
        <v>4.4000000000000004</v>
      </c>
      <c r="O98" s="21">
        <v>635181.35</v>
      </c>
      <c r="P98" s="21">
        <v>83341.25</v>
      </c>
    </row>
    <row r="99" spans="1:16">
      <c r="A99" s="9" t="s">
        <v>47</v>
      </c>
      <c r="B99" s="9">
        <f t="shared" si="2"/>
        <v>2025</v>
      </c>
      <c r="C99" s="9">
        <f t="shared" si="3"/>
        <v>2</v>
      </c>
      <c r="D99" s="10">
        <v>45689</v>
      </c>
      <c r="E99" s="9" t="s">
        <v>15</v>
      </c>
      <c r="F99" s="9" t="s">
        <v>28</v>
      </c>
      <c r="G99" s="21">
        <v>63101.59</v>
      </c>
      <c r="H99" s="21">
        <v>4373</v>
      </c>
      <c r="I99" s="21">
        <v>0.17299999999999999</v>
      </c>
      <c r="J99" s="21">
        <v>14</v>
      </c>
      <c r="K99" s="21">
        <v>90.4</v>
      </c>
      <c r="L99" s="21">
        <v>7.87</v>
      </c>
      <c r="M99" s="21">
        <v>0</v>
      </c>
      <c r="N99" s="21">
        <v>4.7</v>
      </c>
      <c r="O99" s="21">
        <v>586626.93999999994</v>
      </c>
      <c r="P99" s="21">
        <v>86498.55</v>
      </c>
    </row>
    <row r="100" spans="1:16">
      <c r="A100" s="9" t="s">
        <v>47</v>
      </c>
      <c r="B100" s="9">
        <f t="shared" si="2"/>
        <v>2025</v>
      </c>
      <c r="C100" s="9">
        <f t="shared" si="3"/>
        <v>3</v>
      </c>
      <c r="D100" s="10">
        <v>45717</v>
      </c>
      <c r="E100" s="9" t="s">
        <v>15</v>
      </c>
      <c r="F100" s="9" t="s">
        <v>28</v>
      </c>
      <c r="G100" s="21">
        <v>90084.4</v>
      </c>
      <c r="H100" s="21">
        <v>6832</v>
      </c>
      <c r="I100" s="21">
        <v>0.185</v>
      </c>
      <c r="J100" s="21">
        <v>14</v>
      </c>
      <c r="K100" s="21">
        <v>80.5</v>
      </c>
      <c r="L100" s="21">
        <v>0.77</v>
      </c>
      <c r="M100" s="21">
        <v>1</v>
      </c>
      <c r="N100" s="21">
        <v>4.4000000000000004</v>
      </c>
      <c r="O100" s="21">
        <v>740102.64</v>
      </c>
      <c r="P100" s="21">
        <v>114299.07</v>
      </c>
    </row>
    <row r="101" spans="1:16">
      <c r="A101" s="9" t="s">
        <v>47</v>
      </c>
      <c r="B101" s="9">
        <f t="shared" si="2"/>
        <v>2025</v>
      </c>
      <c r="C101" s="9">
        <f t="shared" si="3"/>
        <v>4</v>
      </c>
      <c r="D101" s="10">
        <v>45748</v>
      </c>
      <c r="E101" s="9" t="s">
        <v>15</v>
      </c>
      <c r="F101" s="9" t="s">
        <v>28</v>
      </c>
      <c r="G101" s="21">
        <v>32266.639999999999</v>
      </c>
      <c r="H101" s="21">
        <v>2414</v>
      </c>
      <c r="I101" s="21">
        <v>0.08</v>
      </c>
      <c r="J101" s="21">
        <v>7</v>
      </c>
      <c r="K101" s="21">
        <v>92.1</v>
      </c>
      <c r="L101" s="21">
        <v>1.48</v>
      </c>
      <c r="M101" s="21">
        <v>0</v>
      </c>
      <c r="N101" s="21">
        <v>5</v>
      </c>
      <c r="O101" s="21">
        <v>625514.04</v>
      </c>
      <c r="P101" s="21">
        <v>120685.08</v>
      </c>
    </row>
    <row r="102" spans="1:16">
      <c r="A102" s="9" t="s">
        <v>48</v>
      </c>
      <c r="B102" s="9">
        <f t="shared" si="2"/>
        <v>2025</v>
      </c>
      <c r="C102" s="9">
        <f t="shared" si="3"/>
        <v>1</v>
      </c>
      <c r="D102" s="10">
        <v>45658</v>
      </c>
      <c r="E102" s="9" t="s">
        <v>27</v>
      </c>
      <c r="F102" s="9" t="s">
        <v>18</v>
      </c>
      <c r="G102" s="21">
        <v>57919.07</v>
      </c>
      <c r="H102" s="21">
        <v>7374</v>
      </c>
      <c r="I102" s="21">
        <v>0.10299999999999999</v>
      </c>
      <c r="J102" s="21">
        <v>21</v>
      </c>
      <c r="K102" s="21">
        <v>82.3</v>
      </c>
      <c r="L102" s="21">
        <v>2.87</v>
      </c>
      <c r="M102" s="21">
        <v>0</v>
      </c>
      <c r="N102" s="21">
        <v>2.9</v>
      </c>
      <c r="O102" s="21">
        <v>727227.2</v>
      </c>
      <c r="P102" s="21">
        <v>121292.01</v>
      </c>
    </row>
    <row r="103" spans="1:16">
      <c r="A103" s="9" t="s">
        <v>48</v>
      </c>
      <c r="B103" s="9">
        <f t="shared" si="2"/>
        <v>2025</v>
      </c>
      <c r="C103" s="9">
        <f t="shared" si="3"/>
        <v>2</v>
      </c>
      <c r="D103" s="10">
        <v>45689</v>
      </c>
      <c r="E103" s="9" t="s">
        <v>27</v>
      </c>
      <c r="F103" s="9" t="s">
        <v>18</v>
      </c>
      <c r="G103" s="21">
        <v>74679.350000000006</v>
      </c>
      <c r="H103" s="21">
        <v>8739</v>
      </c>
      <c r="I103" s="21">
        <v>5.6000000000000001E-2</v>
      </c>
      <c r="J103" s="21">
        <v>21</v>
      </c>
      <c r="K103" s="21">
        <v>91.8</v>
      </c>
      <c r="L103" s="21">
        <v>2.83</v>
      </c>
      <c r="M103" s="21">
        <v>0</v>
      </c>
      <c r="N103" s="21">
        <v>3</v>
      </c>
      <c r="O103" s="21">
        <v>783797.89</v>
      </c>
      <c r="P103" s="21">
        <v>157620.70000000001</v>
      </c>
    </row>
    <row r="104" spans="1:16">
      <c r="A104" s="9" t="s">
        <v>48</v>
      </c>
      <c r="B104" s="9">
        <f t="shared" si="2"/>
        <v>2025</v>
      </c>
      <c r="C104" s="9">
        <f t="shared" si="3"/>
        <v>3</v>
      </c>
      <c r="D104" s="10">
        <v>45717</v>
      </c>
      <c r="E104" s="9" t="s">
        <v>27</v>
      </c>
      <c r="F104" s="9" t="s">
        <v>18</v>
      </c>
      <c r="G104" s="21">
        <v>64294.23</v>
      </c>
      <c r="H104" s="21">
        <v>6992</v>
      </c>
      <c r="I104" s="21">
        <v>0.13300000000000001</v>
      </c>
      <c r="J104" s="21">
        <v>14</v>
      </c>
      <c r="K104" s="21">
        <v>94.1</v>
      </c>
      <c r="L104" s="21">
        <v>0.25</v>
      </c>
      <c r="M104" s="21">
        <v>0</v>
      </c>
      <c r="N104" s="21">
        <v>3</v>
      </c>
      <c r="O104" s="21">
        <v>795153.84</v>
      </c>
      <c r="P104" s="21">
        <v>143194.21</v>
      </c>
    </row>
    <row r="105" spans="1:16">
      <c r="A105" s="9" t="s">
        <v>48</v>
      </c>
      <c r="B105" s="9">
        <f t="shared" si="2"/>
        <v>2025</v>
      </c>
      <c r="C105" s="9">
        <f t="shared" si="3"/>
        <v>4</v>
      </c>
      <c r="D105" s="10">
        <v>45748</v>
      </c>
      <c r="E105" s="9" t="s">
        <v>27</v>
      </c>
      <c r="F105" s="9" t="s">
        <v>18</v>
      </c>
      <c r="G105" s="21">
        <v>31042.03</v>
      </c>
      <c r="H105" s="21">
        <v>7107</v>
      </c>
      <c r="I105" s="21">
        <v>5.0999999999999997E-2</v>
      </c>
      <c r="J105" s="21">
        <v>15</v>
      </c>
      <c r="K105" s="21">
        <v>87</v>
      </c>
      <c r="L105" s="21">
        <v>13.33</v>
      </c>
      <c r="M105" s="21">
        <v>0</v>
      </c>
      <c r="N105" s="21">
        <v>3.2</v>
      </c>
      <c r="O105" s="21">
        <v>665594.93999999994</v>
      </c>
      <c r="P105" s="21">
        <v>127597.34</v>
      </c>
    </row>
    <row r="106" spans="1:16">
      <c r="A106" s="9" t="s">
        <v>49</v>
      </c>
      <c r="B106" s="9">
        <f t="shared" si="2"/>
        <v>2025</v>
      </c>
      <c r="C106" s="9">
        <f t="shared" si="3"/>
        <v>1</v>
      </c>
      <c r="D106" s="10">
        <v>45658</v>
      </c>
      <c r="E106" s="9" t="s">
        <v>15</v>
      </c>
      <c r="F106" s="9" t="s">
        <v>28</v>
      </c>
      <c r="G106" s="21">
        <v>75265.02</v>
      </c>
      <c r="H106" s="21">
        <v>6975</v>
      </c>
      <c r="I106" s="21">
        <v>0.157</v>
      </c>
      <c r="J106" s="21">
        <v>20</v>
      </c>
      <c r="K106" s="21">
        <v>73.8</v>
      </c>
      <c r="L106" s="21">
        <v>6.35</v>
      </c>
      <c r="M106" s="21">
        <v>1</v>
      </c>
      <c r="N106" s="21">
        <v>3.8</v>
      </c>
      <c r="O106" s="21">
        <v>709478.39</v>
      </c>
      <c r="P106" s="21">
        <v>71294.27</v>
      </c>
    </row>
    <row r="107" spans="1:16">
      <c r="A107" s="9" t="s">
        <v>49</v>
      </c>
      <c r="B107" s="9">
        <f t="shared" si="2"/>
        <v>2025</v>
      </c>
      <c r="C107" s="9">
        <f t="shared" si="3"/>
        <v>2</v>
      </c>
      <c r="D107" s="10">
        <v>45689</v>
      </c>
      <c r="E107" s="9" t="s">
        <v>15</v>
      </c>
      <c r="F107" s="9" t="s">
        <v>28</v>
      </c>
      <c r="G107" s="21">
        <v>69411.7</v>
      </c>
      <c r="H107" s="21">
        <v>5493</v>
      </c>
      <c r="I107" s="21">
        <v>0.29199999999999998</v>
      </c>
      <c r="J107" s="21">
        <v>13</v>
      </c>
      <c r="K107" s="21">
        <v>86.5</v>
      </c>
      <c r="L107" s="21">
        <v>6.69</v>
      </c>
      <c r="M107" s="21">
        <v>0</v>
      </c>
      <c r="N107" s="21">
        <v>3.8</v>
      </c>
      <c r="O107" s="21">
        <v>664162.49</v>
      </c>
      <c r="P107" s="21">
        <v>98291.06</v>
      </c>
    </row>
    <row r="108" spans="1:16">
      <c r="A108" s="9" t="s">
        <v>49</v>
      </c>
      <c r="B108" s="9">
        <f t="shared" si="2"/>
        <v>2025</v>
      </c>
      <c r="C108" s="9">
        <f t="shared" si="3"/>
        <v>3</v>
      </c>
      <c r="D108" s="10">
        <v>45717</v>
      </c>
      <c r="E108" s="9" t="s">
        <v>15</v>
      </c>
      <c r="F108" s="9" t="s">
        <v>28</v>
      </c>
      <c r="G108" s="21">
        <v>51056.15</v>
      </c>
      <c r="H108" s="21">
        <v>5686</v>
      </c>
      <c r="I108" s="21">
        <v>8.8999999999999996E-2</v>
      </c>
      <c r="J108" s="21">
        <v>13</v>
      </c>
      <c r="K108" s="21">
        <v>89.9</v>
      </c>
      <c r="L108" s="21">
        <v>1.28</v>
      </c>
      <c r="M108" s="21">
        <v>0</v>
      </c>
      <c r="N108" s="21">
        <v>4.2</v>
      </c>
      <c r="O108" s="21">
        <v>633494.21</v>
      </c>
      <c r="P108" s="21">
        <v>105739.47</v>
      </c>
    </row>
    <row r="109" spans="1:16">
      <c r="A109" s="9" t="s">
        <v>49</v>
      </c>
      <c r="B109" s="9">
        <f t="shared" si="2"/>
        <v>2025</v>
      </c>
      <c r="C109" s="9">
        <f t="shared" si="3"/>
        <v>4</v>
      </c>
      <c r="D109" s="10">
        <v>45748</v>
      </c>
      <c r="E109" s="9" t="s">
        <v>15</v>
      </c>
      <c r="F109" s="9" t="s">
        <v>28</v>
      </c>
      <c r="G109" s="21">
        <v>52758.01</v>
      </c>
      <c r="H109" s="21">
        <v>4063</v>
      </c>
      <c r="I109" s="21">
        <v>5.7000000000000002E-2</v>
      </c>
      <c r="J109" s="21">
        <v>12</v>
      </c>
      <c r="K109" s="21">
        <v>91.7</v>
      </c>
      <c r="L109" s="21">
        <v>0.92</v>
      </c>
      <c r="M109" s="21">
        <v>0</v>
      </c>
      <c r="N109" s="21">
        <v>3.5</v>
      </c>
      <c r="O109" s="21">
        <v>713611.16</v>
      </c>
      <c r="P109" s="21">
        <v>129717.18</v>
      </c>
    </row>
    <row r="110" spans="1:16">
      <c r="A110" s="9" t="s">
        <v>50</v>
      </c>
      <c r="B110" s="9">
        <f t="shared" si="2"/>
        <v>2025</v>
      </c>
      <c r="C110" s="9">
        <f t="shared" si="3"/>
        <v>1</v>
      </c>
      <c r="D110" s="10">
        <v>45658</v>
      </c>
      <c r="E110" s="9" t="s">
        <v>27</v>
      </c>
      <c r="F110" s="9" t="s">
        <v>28</v>
      </c>
      <c r="G110" s="21">
        <v>61426.04</v>
      </c>
      <c r="H110" s="21">
        <v>8966</v>
      </c>
      <c r="I110" s="21">
        <v>0.17299999999999999</v>
      </c>
      <c r="J110" s="21">
        <v>22</v>
      </c>
      <c r="K110" s="21">
        <v>76.400000000000006</v>
      </c>
      <c r="L110" s="21">
        <v>1.05</v>
      </c>
      <c r="M110" s="21">
        <v>0</v>
      </c>
      <c r="N110" s="21">
        <v>3.1</v>
      </c>
      <c r="O110" s="21">
        <v>778397.97</v>
      </c>
      <c r="P110" s="21">
        <v>120044.41</v>
      </c>
    </row>
    <row r="111" spans="1:16">
      <c r="A111" s="9" t="s">
        <v>50</v>
      </c>
      <c r="B111" s="9">
        <f t="shared" si="2"/>
        <v>2025</v>
      </c>
      <c r="C111" s="9">
        <f t="shared" si="3"/>
        <v>2</v>
      </c>
      <c r="D111" s="10">
        <v>45689</v>
      </c>
      <c r="E111" s="9" t="s">
        <v>27</v>
      </c>
      <c r="F111" s="9" t="s">
        <v>28</v>
      </c>
      <c r="G111" s="21">
        <v>80176.34</v>
      </c>
      <c r="H111" s="21">
        <v>9489</v>
      </c>
      <c r="I111" s="21">
        <v>0.14199999999999999</v>
      </c>
      <c r="J111" s="21">
        <v>22</v>
      </c>
      <c r="K111" s="21">
        <v>94.3</v>
      </c>
      <c r="L111" s="21">
        <v>2.67</v>
      </c>
      <c r="M111" s="21">
        <v>0</v>
      </c>
      <c r="N111" s="21">
        <v>3.5</v>
      </c>
      <c r="O111" s="21">
        <v>873380.02</v>
      </c>
      <c r="P111" s="21">
        <v>149734.76</v>
      </c>
    </row>
    <row r="112" spans="1:16">
      <c r="A112" s="9" t="s">
        <v>50</v>
      </c>
      <c r="B112" s="9">
        <f t="shared" si="2"/>
        <v>2025</v>
      </c>
      <c r="C112" s="9">
        <f t="shared" si="3"/>
        <v>3</v>
      </c>
      <c r="D112" s="10">
        <v>45717</v>
      </c>
      <c r="E112" s="9" t="s">
        <v>27</v>
      </c>
      <c r="F112" s="9" t="s">
        <v>28</v>
      </c>
      <c r="G112" s="21">
        <v>33605.18</v>
      </c>
      <c r="H112" s="21">
        <v>9225</v>
      </c>
      <c r="I112" s="21">
        <v>0.159</v>
      </c>
      <c r="J112" s="21">
        <v>23</v>
      </c>
      <c r="K112" s="21">
        <v>88.4</v>
      </c>
      <c r="L112" s="21">
        <v>5.91</v>
      </c>
      <c r="M112" s="21">
        <v>0</v>
      </c>
      <c r="N112" s="21">
        <v>2.8</v>
      </c>
      <c r="O112" s="21">
        <v>697287.9</v>
      </c>
      <c r="P112" s="21">
        <v>128208.33</v>
      </c>
    </row>
    <row r="113" spans="1:16">
      <c r="A113" s="9" t="s">
        <v>50</v>
      </c>
      <c r="B113" s="9">
        <f t="shared" si="2"/>
        <v>2025</v>
      </c>
      <c r="C113" s="9">
        <f t="shared" si="3"/>
        <v>4</v>
      </c>
      <c r="D113" s="10">
        <v>45748</v>
      </c>
      <c r="E113" s="9" t="s">
        <v>27</v>
      </c>
      <c r="F113" s="9" t="s">
        <v>28</v>
      </c>
      <c r="G113" s="21">
        <v>25990.54</v>
      </c>
      <c r="H113" s="21">
        <v>9249</v>
      </c>
      <c r="I113" s="21">
        <v>0.13900000000000001</v>
      </c>
      <c r="J113" s="21">
        <v>23</v>
      </c>
      <c r="K113" s="21">
        <v>92.5</v>
      </c>
      <c r="L113" s="21">
        <v>6.37</v>
      </c>
      <c r="M113" s="21">
        <v>0</v>
      </c>
      <c r="N113" s="21">
        <v>3.3</v>
      </c>
      <c r="O113" s="21">
        <v>718074.79</v>
      </c>
      <c r="P113" s="21">
        <v>115819.87</v>
      </c>
    </row>
    <row r="114" spans="1:16">
      <c r="A114" s="9" t="s">
        <v>51</v>
      </c>
      <c r="B114" s="9">
        <f t="shared" si="2"/>
        <v>2025</v>
      </c>
      <c r="C114" s="9">
        <f t="shared" si="3"/>
        <v>1</v>
      </c>
      <c r="D114" s="10">
        <v>45658</v>
      </c>
      <c r="E114" s="9" t="s">
        <v>27</v>
      </c>
      <c r="F114" s="9" t="s">
        <v>16</v>
      </c>
      <c r="G114" s="21">
        <v>43685.14</v>
      </c>
      <c r="H114" s="21">
        <v>7821</v>
      </c>
      <c r="I114" s="21">
        <v>0.19</v>
      </c>
      <c r="J114" s="21">
        <v>17</v>
      </c>
      <c r="K114" s="21">
        <v>91</v>
      </c>
      <c r="L114" s="21">
        <v>2.4900000000000002</v>
      </c>
      <c r="M114" s="21">
        <v>1</v>
      </c>
      <c r="N114" s="21">
        <v>4.7</v>
      </c>
      <c r="O114" s="21">
        <v>714942.43</v>
      </c>
      <c r="P114" s="21">
        <v>94697.71</v>
      </c>
    </row>
    <row r="115" spans="1:16">
      <c r="A115" s="9" t="s">
        <v>51</v>
      </c>
      <c r="B115" s="9">
        <f t="shared" si="2"/>
        <v>2025</v>
      </c>
      <c r="C115" s="9">
        <f t="shared" si="3"/>
        <v>2</v>
      </c>
      <c r="D115" s="10">
        <v>45689</v>
      </c>
      <c r="E115" s="9" t="s">
        <v>27</v>
      </c>
      <c r="F115" s="9" t="s">
        <v>16</v>
      </c>
      <c r="G115" s="21">
        <v>57360.01</v>
      </c>
      <c r="H115" s="21">
        <v>8434</v>
      </c>
      <c r="I115" s="21">
        <v>0.151</v>
      </c>
      <c r="J115" s="21">
        <v>19</v>
      </c>
      <c r="K115" s="21">
        <v>84.1</v>
      </c>
      <c r="L115" s="21">
        <v>1.56</v>
      </c>
      <c r="M115" s="21">
        <v>0</v>
      </c>
      <c r="N115" s="21">
        <v>4.7</v>
      </c>
      <c r="O115" s="21">
        <v>820519.04</v>
      </c>
      <c r="P115" s="21">
        <v>99035.88</v>
      </c>
    </row>
    <row r="116" spans="1:16">
      <c r="A116" s="9" t="s">
        <v>51</v>
      </c>
      <c r="B116" s="9">
        <f t="shared" si="2"/>
        <v>2025</v>
      </c>
      <c r="C116" s="9">
        <f t="shared" si="3"/>
        <v>3</v>
      </c>
      <c r="D116" s="10">
        <v>45717</v>
      </c>
      <c r="E116" s="9" t="s">
        <v>27</v>
      </c>
      <c r="F116" s="9" t="s">
        <v>16</v>
      </c>
      <c r="G116" s="21">
        <v>42415.47</v>
      </c>
      <c r="H116" s="21">
        <v>8512</v>
      </c>
      <c r="I116" s="21">
        <v>0.13300000000000001</v>
      </c>
      <c r="J116" s="21">
        <v>18</v>
      </c>
      <c r="K116" s="21">
        <v>96.8</v>
      </c>
      <c r="L116" s="21">
        <v>14.95</v>
      </c>
      <c r="M116" s="21">
        <v>0</v>
      </c>
      <c r="N116" s="21">
        <v>4.5999999999999996</v>
      </c>
      <c r="O116" s="21">
        <v>684217.32</v>
      </c>
      <c r="P116" s="21">
        <v>136217.19</v>
      </c>
    </row>
    <row r="117" spans="1:16">
      <c r="A117" s="9" t="s">
        <v>51</v>
      </c>
      <c r="B117" s="9">
        <f t="shared" si="2"/>
        <v>2025</v>
      </c>
      <c r="C117" s="9">
        <f t="shared" si="3"/>
        <v>4</v>
      </c>
      <c r="D117" s="10">
        <v>45748</v>
      </c>
      <c r="E117" s="9" t="s">
        <v>27</v>
      </c>
      <c r="F117" s="9" t="s">
        <v>16</v>
      </c>
      <c r="G117" s="21">
        <v>54968.98</v>
      </c>
      <c r="H117" s="21">
        <v>7816</v>
      </c>
      <c r="I117" s="21">
        <v>0.23200000000000001</v>
      </c>
      <c r="J117" s="21">
        <v>19</v>
      </c>
      <c r="K117" s="21">
        <v>95.7</v>
      </c>
      <c r="L117" s="21">
        <v>7.85</v>
      </c>
      <c r="M117" s="21">
        <v>0</v>
      </c>
      <c r="N117" s="21">
        <v>4.7</v>
      </c>
      <c r="O117" s="21">
        <v>735480.19</v>
      </c>
      <c r="P117" s="21">
        <v>88342.11</v>
      </c>
    </row>
    <row r="118" spans="1:16">
      <c r="A118" s="9" t="s">
        <v>52</v>
      </c>
      <c r="B118" s="9">
        <f t="shared" si="2"/>
        <v>2025</v>
      </c>
      <c r="C118" s="9">
        <f t="shared" si="3"/>
        <v>1</v>
      </c>
      <c r="D118" s="10">
        <v>45658</v>
      </c>
      <c r="E118" s="9" t="s">
        <v>20</v>
      </c>
      <c r="F118" s="9" t="s">
        <v>18</v>
      </c>
      <c r="G118" s="21">
        <v>43896.13</v>
      </c>
      <c r="H118" s="21">
        <v>3853</v>
      </c>
      <c r="I118" s="21">
        <v>8.7999999999999995E-2</v>
      </c>
      <c r="J118" s="21">
        <v>13</v>
      </c>
      <c r="K118" s="21">
        <v>83</v>
      </c>
      <c r="L118" s="21">
        <v>6.8</v>
      </c>
      <c r="M118" s="21">
        <v>0</v>
      </c>
      <c r="N118" s="21">
        <v>4.4000000000000004</v>
      </c>
      <c r="O118" s="21">
        <v>509484.81</v>
      </c>
      <c r="P118" s="21">
        <v>85742.36</v>
      </c>
    </row>
    <row r="119" spans="1:16">
      <c r="A119" s="9" t="s">
        <v>52</v>
      </c>
      <c r="B119" s="9">
        <f t="shared" si="2"/>
        <v>2025</v>
      </c>
      <c r="C119" s="9">
        <f t="shared" si="3"/>
        <v>2</v>
      </c>
      <c r="D119" s="10">
        <v>45689</v>
      </c>
      <c r="E119" s="9" t="s">
        <v>20</v>
      </c>
      <c r="F119" s="9" t="s">
        <v>18</v>
      </c>
      <c r="G119" s="21">
        <v>83044.17</v>
      </c>
      <c r="H119" s="21">
        <v>3694</v>
      </c>
      <c r="I119" s="21">
        <v>0</v>
      </c>
      <c r="J119" s="21">
        <v>14</v>
      </c>
      <c r="K119" s="21">
        <v>89.4</v>
      </c>
      <c r="L119" s="21">
        <v>2.2000000000000002</v>
      </c>
      <c r="M119" s="21">
        <v>0</v>
      </c>
      <c r="N119" s="21">
        <v>3.7</v>
      </c>
      <c r="O119" s="21">
        <v>654317.09</v>
      </c>
      <c r="P119" s="21">
        <v>121446.89</v>
      </c>
    </row>
    <row r="120" spans="1:16">
      <c r="A120" s="9" t="s">
        <v>52</v>
      </c>
      <c r="B120" s="9">
        <f t="shared" si="2"/>
        <v>2025</v>
      </c>
      <c r="C120" s="9">
        <f t="shared" si="3"/>
        <v>3</v>
      </c>
      <c r="D120" s="10">
        <v>45717</v>
      </c>
      <c r="E120" s="9" t="s">
        <v>20</v>
      </c>
      <c r="F120" s="9" t="s">
        <v>18</v>
      </c>
      <c r="G120" s="21">
        <v>48396.13</v>
      </c>
      <c r="H120" s="21">
        <v>4423</v>
      </c>
      <c r="I120" s="21">
        <v>6.9000000000000006E-2</v>
      </c>
      <c r="J120" s="21">
        <v>15</v>
      </c>
      <c r="K120" s="21">
        <v>85.7</v>
      </c>
      <c r="L120" s="21">
        <v>1.88</v>
      </c>
      <c r="M120" s="21">
        <v>0</v>
      </c>
      <c r="N120" s="21">
        <v>3.9</v>
      </c>
      <c r="O120" s="21">
        <v>557487.26</v>
      </c>
      <c r="P120" s="21">
        <v>76432.19</v>
      </c>
    </row>
    <row r="121" spans="1:16">
      <c r="A121" s="9" t="s">
        <v>52</v>
      </c>
      <c r="B121" s="9">
        <f t="shared" si="2"/>
        <v>2025</v>
      </c>
      <c r="C121" s="9">
        <f t="shared" si="3"/>
        <v>4</v>
      </c>
      <c r="D121" s="10">
        <v>45748</v>
      </c>
      <c r="E121" s="9" t="s">
        <v>20</v>
      </c>
      <c r="F121" s="9" t="s">
        <v>18</v>
      </c>
      <c r="G121" s="21">
        <v>19063.48</v>
      </c>
      <c r="H121" s="21">
        <v>1906</v>
      </c>
      <c r="I121" s="21">
        <v>0.216</v>
      </c>
      <c r="J121" s="21">
        <v>10</v>
      </c>
      <c r="K121" s="21">
        <v>97.8</v>
      </c>
      <c r="L121" s="21">
        <v>15.79</v>
      </c>
      <c r="M121" s="21">
        <v>0</v>
      </c>
      <c r="N121" s="21">
        <v>4.4000000000000004</v>
      </c>
      <c r="O121" s="21">
        <v>441275.42</v>
      </c>
      <c r="P121" s="21">
        <v>58234.87</v>
      </c>
    </row>
    <row r="122" spans="1:16">
      <c r="A122" s="9" t="s">
        <v>53</v>
      </c>
      <c r="B122" s="9">
        <f t="shared" si="2"/>
        <v>2025</v>
      </c>
      <c r="C122" s="9">
        <f t="shared" si="3"/>
        <v>1</v>
      </c>
      <c r="D122" s="10">
        <v>45658</v>
      </c>
      <c r="E122" s="9" t="s">
        <v>24</v>
      </c>
      <c r="F122" s="9" t="s">
        <v>18</v>
      </c>
      <c r="G122" s="21">
        <v>61541.21</v>
      </c>
      <c r="H122" s="21">
        <v>10396</v>
      </c>
      <c r="I122" s="21">
        <v>0.123</v>
      </c>
      <c r="J122" s="21">
        <v>25</v>
      </c>
      <c r="K122" s="21">
        <v>88.1</v>
      </c>
      <c r="L122" s="21">
        <v>2.34</v>
      </c>
      <c r="M122" s="21">
        <v>1</v>
      </c>
      <c r="N122" s="21">
        <v>4.8</v>
      </c>
      <c r="O122" s="21">
        <v>914544.17</v>
      </c>
      <c r="P122" s="21">
        <v>79831.73</v>
      </c>
    </row>
    <row r="123" spans="1:16">
      <c r="A123" s="9" t="s">
        <v>53</v>
      </c>
      <c r="B123" s="9">
        <f t="shared" si="2"/>
        <v>2025</v>
      </c>
      <c r="C123" s="9">
        <f t="shared" si="3"/>
        <v>2</v>
      </c>
      <c r="D123" s="10">
        <v>45689</v>
      </c>
      <c r="E123" s="9" t="s">
        <v>24</v>
      </c>
      <c r="F123" s="9" t="s">
        <v>18</v>
      </c>
      <c r="G123" s="21">
        <v>44747</v>
      </c>
      <c r="H123" s="21">
        <v>11076</v>
      </c>
      <c r="I123" s="21">
        <v>0.17599999999999999</v>
      </c>
      <c r="J123" s="21">
        <v>27</v>
      </c>
      <c r="K123" s="21">
        <v>98.3</v>
      </c>
      <c r="L123" s="21">
        <v>0.54</v>
      </c>
      <c r="M123" s="21">
        <v>0</v>
      </c>
      <c r="N123" s="21">
        <v>4.4000000000000004</v>
      </c>
      <c r="O123" s="21">
        <v>842439.67</v>
      </c>
      <c r="P123" s="21">
        <v>169983.63</v>
      </c>
    </row>
    <row r="124" spans="1:16">
      <c r="A124" s="9" t="s">
        <v>53</v>
      </c>
      <c r="B124" s="9">
        <f t="shared" si="2"/>
        <v>2025</v>
      </c>
      <c r="C124" s="9">
        <f t="shared" si="3"/>
        <v>3</v>
      </c>
      <c r="D124" s="10">
        <v>45717</v>
      </c>
      <c r="E124" s="9" t="s">
        <v>24</v>
      </c>
      <c r="F124" s="9" t="s">
        <v>18</v>
      </c>
      <c r="G124" s="21">
        <v>56517.9</v>
      </c>
      <c r="H124" s="21">
        <v>9574</v>
      </c>
      <c r="I124" s="21">
        <v>0.20399999999999999</v>
      </c>
      <c r="J124" s="21">
        <v>20</v>
      </c>
      <c r="K124" s="21">
        <v>88.2</v>
      </c>
      <c r="L124" s="21">
        <v>5.37</v>
      </c>
      <c r="M124" s="21">
        <v>1</v>
      </c>
      <c r="N124" s="21">
        <v>4.9000000000000004</v>
      </c>
      <c r="O124" s="21">
        <v>842157.92</v>
      </c>
      <c r="P124" s="21">
        <v>107348.22</v>
      </c>
    </row>
    <row r="125" spans="1:16">
      <c r="A125" s="9" t="s">
        <v>53</v>
      </c>
      <c r="B125" s="9">
        <f t="shared" si="2"/>
        <v>2025</v>
      </c>
      <c r="C125" s="9">
        <f t="shared" si="3"/>
        <v>4</v>
      </c>
      <c r="D125" s="10">
        <v>45748</v>
      </c>
      <c r="E125" s="9" t="s">
        <v>24</v>
      </c>
      <c r="F125" s="9" t="s">
        <v>18</v>
      </c>
      <c r="G125" s="21">
        <v>37828.5</v>
      </c>
      <c r="H125" s="21">
        <v>8221</v>
      </c>
      <c r="I125" s="21">
        <v>9.6000000000000002E-2</v>
      </c>
      <c r="J125" s="21">
        <v>19</v>
      </c>
      <c r="K125" s="21">
        <v>81.5</v>
      </c>
      <c r="L125" s="21">
        <v>3.19</v>
      </c>
      <c r="M125" s="21">
        <v>0</v>
      </c>
      <c r="N125" s="21">
        <v>4.8</v>
      </c>
      <c r="O125" s="21">
        <v>697155.3</v>
      </c>
      <c r="P125" s="21">
        <v>136408.54</v>
      </c>
    </row>
    <row r="126" spans="1:16">
      <c r="A126" s="9" t="s">
        <v>54</v>
      </c>
      <c r="B126" s="9">
        <f t="shared" si="2"/>
        <v>2025</v>
      </c>
      <c r="C126" s="9">
        <f t="shared" si="3"/>
        <v>1</v>
      </c>
      <c r="D126" s="10">
        <v>45658</v>
      </c>
      <c r="E126" s="9" t="s">
        <v>15</v>
      </c>
      <c r="F126" s="9" t="s">
        <v>18</v>
      </c>
      <c r="G126" s="21">
        <v>66250.53</v>
      </c>
      <c r="H126" s="21">
        <v>10618</v>
      </c>
      <c r="I126" s="21">
        <v>0.14199999999999999</v>
      </c>
      <c r="J126" s="21">
        <v>27</v>
      </c>
      <c r="K126" s="21">
        <v>88.3</v>
      </c>
      <c r="L126" s="21">
        <v>1.1000000000000001</v>
      </c>
      <c r="M126" s="21">
        <v>1</v>
      </c>
      <c r="N126" s="21">
        <v>4.4000000000000004</v>
      </c>
      <c r="O126" s="21">
        <v>849018.3</v>
      </c>
      <c r="P126" s="21">
        <v>149035.13</v>
      </c>
    </row>
    <row r="127" spans="1:16">
      <c r="A127" s="9" t="s">
        <v>54</v>
      </c>
      <c r="B127" s="9">
        <f t="shared" ref="B127:B187" si="4">YEAR(D127)</f>
        <v>2025</v>
      </c>
      <c r="C127" s="9">
        <f t="shared" ref="C127:C187" si="5">MONTH(D127)</f>
        <v>2</v>
      </c>
      <c r="D127" s="10">
        <v>45689</v>
      </c>
      <c r="E127" s="9" t="s">
        <v>15</v>
      </c>
      <c r="F127" s="9" t="s">
        <v>18</v>
      </c>
      <c r="G127" s="21">
        <v>68410.929999999993</v>
      </c>
      <c r="H127" s="21">
        <v>10596</v>
      </c>
      <c r="I127" s="21">
        <v>0.20699999999999999</v>
      </c>
      <c r="J127" s="21">
        <v>25</v>
      </c>
      <c r="K127" s="21">
        <v>81.2</v>
      </c>
      <c r="L127" s="21">
        <v>0.21</v>
      </c>
      <c r="M127" s="21">
        <v>0</v>
      </c>
      <c r="N127" s="21">
        <v>4</v>
      </c>
      <c r="O127" s="21">
        <v>801830.35</v>
      </c>
      <c r="P127" s="21">
        <v>114875.32</v>
      </c>
    </row>
    <row r="128" spans="1:16">
      <c r="A128" s="9" t="s">
        <v>54</v>
      </c>
      <c r="B128" s="9">
        <f t="shared" si="4"/>
        <v>2025</v>
      </c>
      <c r="C128" s="9">
        <f t="shared" si="5"/>
        <v>3</v>
      </c>
      <c r="D128" s="10">
        <v>45717</v>
      </c>
      <c r="E128" s="9" t="s">
        <v>15</v>
      </c>
      <c r="F128" s="9" t="s">
        <v>18</v>
      </c>
      <c r="G128" s="21">
        <v>50735.63</v>
      </c>
      <c r="H128" s="21">
        <v>9619</v>
      </c>
      <c r="I128" s="21">
        <v>0.14399999999999999</v>
      </c>
      <c r="J128" s="21">
        <v>19</v>
      </c>
      <c r="K128" s="21">
        <v>93.8</v>
      </c>
      <c r="L128" s="21">
        <v>5.12</v>
      </c>
      <c r="M128" s="21">
        <v>1</v>
      </c>
      <c r="N128" s="21">
        <v>4.5</v>
      </c>
      <c r="O128" s="21">
        <v>725235.28</v>
      </c>
      <c r="P128" s="21">
        <v>121632.24</v>
      </c>
    </row>
    <row r="129" spans="1:16">
      <c r="A129" s="9" t="s">
        <v>54</v>
      </c>
      <c r="B129" s="9">
        <f t="shared" si="4"/>
        <v>2025</v>
      </c>
      <c r="C129" s="9">
        <f t="shared" si="5"/>
        <v>4</v>
      </c>
      <c r="D129" s="10">
        <v>45748</v>
      </c>
      <c r="E129" s="9" t="s">
        <v>15</v>
      </c>
      <c r="F129" s="9" t="s">
        <v>18</v>
      </c>
      <c r="G129" s="21">
        <v>66455.8</v>
      </c>
      <c r="H129" s="21">
        <v>10836</v>
      </c>
      <c r="I129" s="21">
        <v>8.8999999999999996E-2</v>
      </c>
      <c r="J129" s="21">
        <v>25</v>
      </c>
      <c r="K129" s="21">
        <v>85</v>
      </c>
      <c r="L129" s="21">
        <v>9.77</v>
      </c>
      <c r="M129" s="21">
        <v>0</v>
      </c>
      <c r="N129" s="21">
        <v>4.5</v>
      </c>
      <c r="O129" s="21">
        <v>811452.72</v>
      </c>
      <c r="P129" s="21">
        <v>131325.67000000001</v>
      </c>
    </row>
    <row r="130" spans="1:16">
      <c r="A130" s="9" t="s">
        <v>55</v>
      </c>
      <c r="B130" s="9">
        <f t="shared" si="4"/>
        <v>2025</v>
      </c>
      <c r="C130" s="9">
        <f t="shared" si="5"/>
        <v>1</v>
      </c>
      <c r="D130" s="10">
        <v>45658</v>
      </c>
      <c r="E130" s="9" t="s">
        <v>20</v>
      </c>
      <c r="F130" s="9" t="s">
        <v>18</v>
      </c>
      <c r="G130" s="21">
        <v>70276.28</v>
      </c>
      <c r="H130" s="21">
        <v>3043</v>
      </c>
      <c r="I130" s="21">
        <v>7.9000000000000001E-2</v>
      </c>
      <c r="J130" s="21">
        <v>9</v>
      </c>
      <c r="K130" s="21">
        <v>87.9</v>
      </c>
      <c r="L130" s="21">
        <v>3.77</v>
      </c>
      <c r="M130" s="21">
        <v>0</v>
      </c>
      <c r="N130" s="21">
        <v>4.4000000000000004</v>
      </c>
      <c r="O130" s="21">
        <v>527300.13</v>
      </c>
      <c r="P130" s="21">
        <v>84197.87</v>
      </c>
    </row>
    <row r="131" spans="1:16">
      <c r="A131" s="9" t="s">
        <v>55</v>
      </c>
      <c r="B131" s="9">
        <f t="shared" si="4"/>
        <v>2025</v>
      </c>
      <c r="C131" s="9">
        <f t="shared" si="5"/>
        <v>3</v>
      </c>
      <c r="D131" s="10">
        <v>45717</v>
      </c>
      <c r="E131" s="9" t="s">
        <v>20</v>
      </c>
      <c r="F131" s="9" t="s">
        <v>18</v>
      </c>
      <c r="G131" s="21">
        <v>52285.45</v>
      </c>
      <c r="H131" s="21">
        <v>3618</v>
      </c>
      <c r="I131" s="21">
        <v>8.5999999999999993E-2</v>
      </c>
      <c r="J131" s="21">
        <v>11</v>
      </c>
      <c r="K131" s="21">
        <v>95.6</v>
      </c>
      <c r="L131" s="21">
        <v>5.17</v>
      </c>
      <c r="M131" s="21">
        <v>1</v>
      </c>
      <c r="N131" s="21">
        <v>4.4000000000000004</v>
      </c>
      <c r="O131" s="21">
        <v>593247.25</v>
      </c>
      <c r="P131" s="21">
        <v>81240.289999999994</v>
      </c>
    </row>
    <row r="132" spans="1:16">
      <c r="A132" s="9" t="s">
        <v>55</v>
      </c>
      <c r="B132" s="9">
        <f t="shared" si="4"/>
        <v>2025</v>
      </c>
      <c r="C132" s="9">
        <f t="shared" si="5"/>
        <v>4</v>
      </c>
      <c r="D132" s="10">
        <v>45748</v>
      </c>
      <c r="E132" s="9" t="s">
        <v>20</v>
      </c>
      <c r="F132" s="9" t="s">
        <v>18</v>
      </c>
      <c r="G132" s="21">
        <v>70366.759999999995</v>
      </c>
      <c r="H132" s="21">
        <v>1963</v>
      </c>
      <c r="I132" s="21">
        <v>0.182</v>
      </c>
      <c r="J132" s="21">
        <v>8</v>
      </c>
      <c r="K132" s="21">
        <v>89.8</v>
      </c>
      <c r="L132" s="21">
        <v>3.2</v>
      </c>
      <c r="M132" s="21">
        <v>0</v>
      </c>
      <c r="N132" s="21">
        <v>4.5999999999999996</v>
      </c>
      <c r="O132" s="21">
        <v>529075.94999999995</v>
      </c>
      <c r="P132" s="21">
        <v>95978.83</v>
      </c>
    </row>
    <row r="133" spans="1:16">
      <c r="A133" s="9" t="s">
        <v>56</v>
      </c>
      <c r="B133" s="9">
        <f t="shared" si="4"/>
        <v>2025</v>
      </c>
      <c r="C133" s="9">
        <f t="shared" si="5"/>
        <v>2</v>
      </c>
      <c r="D133" s="10">
        <v>45689</v>
      </c>
      <c r="E133" s="9" t="s">
        <v>24</v>
      </c>
      <c r="F133" s="9" t="s">
        <v>16</v>
      </c>
      <c r="G133" s="21">
        <v>75109.67</v>
      </c>
      <c r="H133" s="21">
        <v>6244</v>
      </c>
      <c r="I133" s="21">
        <v>7.9000000000000001E-2</v>
      </c>
      <c r="J133" s="21">
        <v>15</v>
      </c>
      <c r="K133" s="21">
        <v>96.3</v>
      </c>
      <c r="L133" s="21">
        <v>7.38</v>
      </c>
      <c r="M133" s="21">
        <v>0</v>
      </c>
      <c r="N133" s="21">
        <v>3.7</v>
      </c>
      <c r="O133" s="21">
        <v>743348.84</v>
      </c>
      <c r="P133" s="21">
        <v>104186.09</v>
      </c>
    </row>
    <row r="134" spans="1:16">
      <c r="A134" s="9" t="s">
        <v>56</v>
      </c>
      <c r="B134" s="9">
        <f t="shared" si="4"/>
        <v>2025</v>
      </c>
      <c r="C134" s="9">
        <f t="shared" si="5"/>
        <v>3</v>
      </c>
      <c r="D134" s="10">
        <v>45717</v>
      </c>
      <c r="E134" s="9" t="s">
        <v>24</v>
      </c>
      <c r="F134" s="9" t="s">
        <v>16</v>
      </c>
      <c r="G134" s="21">
        <v>69779</v>
      </c>
      <c r="H134" s="21">
        <v>6544</v>
      </c>
      <c r="I134" s="21">
        <v>0.152</v>
      </c>
      <c r="J134" s="21">
        <v>18</v>
      </c>
      <c r="K134" s="21">
        <v>90.2</v>
      </c>
      <c r="L134" s="21">
        <v>0.85</v>
      </c>
      <c r="M134" s="21">
        <v>1</v>
      </c>
      <c r="N134" s="21">
        <v>3.3</v>
      </c>
      <c r="O134" s="21">
        <v>758827.64</v>
      </c>
      <c r="P134" s="21">
        <v>161439.48000000001</v>
      </c>
    </row>
    <row r="135" spans="1:16">
      <c r="A135" s="9" t="s">
        <v>56</v>
      </c>
      <c r="B135" s="9">
        <f t="shared" si="4"/>
        <v>2025</v>
      </c>
      <c r="C135" s="9">
        <f t="shared" si="5"/>
        <v>4</v>
      </c>
      <c r="D135" s="10">
        <v>45748</v>
      </c>
      <c r="E135" s="9" t="s">
        <v>24</v>
      </c>
      <c r="F135" s="9" t="s">
        <v>16</v>
      </c>
      <c r="G135" s="21">
        <v>44211.95</v>
      </c>
      <c r="H135" s="21">
        <v>5465</v>
      </c>
      <c r="I135" s="21">
        <v>0.187</v>
      </c>
      <c r="J135" s="21">
        <v>12</v>
      </c>
      <c r="K135" s="21">
        <v>90</v>
      </c>
      <c r="L135" s="21">
        <v>2.89</v>
      </c>
      <c r="M135" s="21">
        <v>0</v>
      </c>
      <c r="N135" s="21">
        <v>3.6</v>
      </c>
      <c r="O135" s="21">
        <v>646559.71</v>
      </c>
      <c r="P135" s="21">
        <v>97981.75</v>
      </c>
    </row>
    <row r="136" spans="1:16">
      <c r="A136" s="9" t="s">
        <v>57</v>
      </c>
      <c r="B136" s="9">
        <f t="shared" si="4"/>
        <v>2025</v>
      </c>
      <c r="C136" s="9">
        <f t="shared" si="5"/>
        <v>1</v>
      </c>
      <c r="D136" s="10">
        <v>45658</v>
      </c>
      <c r="E136" s="9" t="s">
        <v>27</v>
      </c>
      <c r="F136" s="9" t="s">
        <v>18</v>
      </c>
      <c r="G136" s="21">
        <v>51430.31</v>
      </c>
      <c r="H136" s="21">
        <v>6427</v>
      </c>
      <c r="I136" s="21">
        <v>0.23400000000000001</v>
      </c>
      <c r="J136" s="21">
        <v>14</v>
      </c>
      <c r="K136" s="21">
        <v>88.8</v>
      </c>
      <c r="L136" s="21">
        <v>0.77</v>
      </c>
      <c r="M136" s="21">
        <v>0</v>
      </c>
      <c r="N136" s="21">
        <v>4.0999999999999996</v>
      </c>
      <c r="O136" s="21">
        <v>715890.53</v>
      </c>
      <c r="P136" s="21">
        <v>109032.15</v>
      </c>
    </row>
    <row r="137" spans="1:16">
      <c r="A137" s="9" t="s">
        <v>57</v>
      </c>
      <c r="B137" s="9">
        <f t="shared" si="4"/>
        <v>2025</v>
      </c>
      <c r="C137" s="9">
        <f t="shared" si="5"/>
        <v>2</v>
      </c>
      <c r="D137" s="10">
        <v>45689</v>
      </c>
      <c r="E137" s="9" t="s">
        <v>27</v>
      </c>
      <c r="F137" s="9" t="s">
        <v>18</v>
      </c>
      <c r="G137" s="21">
        <v>45706.49</v>
      </c>
      <c r="H137" s="21">
        <v>6704</v>
      </c>
      <c r="I137" s="21">
        <v>3.7999999999999999E-2</v>
      </c>
      <c r="J137" s="21">
        <v>15</v>
      </c>
      <c r="K137" s="21">
        <v>94.2</v>
      </c>
      <c r="L137" s="21">
        <v>2.92</v>
      </c>
      <c r="M137" s="21">
        <v>0</v>
      </c>
      <c r="N137" s="21">
        <v>4.2</v>
      </c>
      <c r="O137" s="21">
        <v>715097.57</v>
      </c>
      <c r="P137" s="21">
        <v>151875.85999999999</v>
      </c>
    </row>
    <row r="138" spans="1:16">
      <c r="A138" s="9" t="s">
        <v>57</v>
      </c>
      <c r="B138" s="9">
        <f t="shared" si="4"/>
        <v>2025</v>
      </c>
      <c r="C138" s="9">
        <f t="shared" si="5"/>
        <v>3</v>
      </c>
      <c r="D138" s="10">
        <v>45717</v>
      </c>
      <c r="E138" s="9" t="s">
        <v>27</v>
      </c>
      <c r="F138" s="9" t="s">
        <v>18</v>
      </c>
      <c r="G138" s="21">
        <v>44034.6</v>
      </c>
      <c r="H138" s="21">
        <v>5645</v>
      </c>
      <c r="I138" s="21">
        <v>6.9000000000000006E-2</v>
      </c>
      <c r="J138" s="21">
        <v>18</v>
      </c>
      <c r="K138" s="21">
        <v>88.5</v>
      </c>
      <c r="L138" s="21">
        <v>3.07</v>
      </c>
      <c r="M138" s="21">
        <v>0</v>
      </c>
      <c r="N138" s="21">
        <v>3.8</v>
      </c>
      <c r="O138" s="21">
        <v>682639.28</v>
      </c>
      <c r="P138" s="21">
        <v>77557.53</v>
      </c>
    </row>
    <row r="139" spans="1:16">
      <c r="A139" s="9" t="s">
        <v>57</v>
      </c>
      <c r="B139" s="9">
        <f t="shared" si="4"/>
        <v>2025</v>
      </c>
      <c r="C139" s="9">
        <f t="shared" si="5"/>
        <v>4</v>
      </c>
      <c r="D139" s="10">
        <v>45748</v>
      </c>
      <c r="E139" s="9" t="s">
        <v>27</v>
      </c>
      <c r="F139" s="9" t="s">
        <v>18</v>
      </c>
      <c r="G139" s="21">
        <v>50198.12</v>
      </c>
      <c r="H139" s="21">
        <v>6089</v>
      </c>
      <c r="I139" s="21">
        <v>0.182</v>
      </c>
      <c r="J139" s="21">
        <v>19</v>
      </c>
      <c r="K139" s="21">
        <v>94</v>
      </c>
      <c r="L139" s="21">
        <v>9.6999999999999993</v>
      </c>
      <c r="M139" s="21">
        <v>0</v>
      </c>
      <c r="N139" s="21">
        <v>3.9</v>
      </c>
      <c r="O139" s="21">
        <v>695098.51</v>
      </c>
      <c r="P139" s="21">
        <v>108192.75</v>
      </c>
    </row>
    <row r="140" spans="1:16">
      <c r="A140" s="9" t="s">
        <v>58</v>
      </c>
      <c r="B140" s="9">
        <f t="shared" si="4"/>
        <v>2025</v>
      </c>
      <c r="C140" s="9">
        <f t="shared" si="5"/>
        <v>1</v>
      </c>
      <c r="D140" s="10">
        <v>45658</v>
      </c>
      <c r="E140" s="9" t="s">
        <v>20</v>
      </c>
      <c r="F140" s="9" t="s">
        <v>16</v>
      </c>
      <c r="G140" s="21">
        <v>70488.2</v>
      </c>
      <c r="H140" s="21">
        <v>4312</v>
      </c>
      <c r="I140" s="21">
        <v>0.16900000000000001</v>
      </c>
      <c r="J140" s="21">
        <v>12</v>
      </c>
      <c r="K140" s="21">
        <v>90.2</v>
      </c>
      <c r="L140" s="21">
        <v>3.71</v>
      </c>
      <c r="M140" s="21">
        <v>0</v>
      </c>
      <c r="N140" s="21">
        <v>3.2</v>
      </c>
      <c r="O140" s="21">
        <v>577732.56999999995</v>
      </c>
      <c r="P140" s="21">
        <v>93804.27</v>
      </c>
    </row>
    <row r="141" spans="1:16">
      <c r="A141" s="9" t="s">
        <v>58</v>
      </c>
      <c r="B141" s="9">
        <f t="shared" si="4"/>
        <v>2025</v>
      </c>
      <c r="C141" s="9">
        <f t="shared" si="5"/>
        <v>2</v>
      </c>
      <c r="D141" s="10">
        <v>45689</v>
      </c>
      <c r="E141" s="9" t="s">
        <v>20</v>
      </c>
      <c r="F141" s="9" t="s">
        <v>16</v>
      </c>
      <c r="G141" s="21">
        <v>50909.27</v>
      </c>
      <c r="H141" s="21">
        <v>3152</v>
      </c>
      <c r="I141" s="21">
        <v>0.06</v>
      </c>
      <c r="J141" s="21">
        <v>13</v>
      </c>
      <c r="K141" s="21">
        <v>93.7</v>
      </c>
      <c r="L141" s="21">
        <v>10.79</v>
      </c>
      <c r="M141" s="21">
        <v>0</v>
      </c>
      <c r="N141" s="21">
        <v>3.5</v>
      </c>
      <c r="O141" s="21">
        <v>537058.32999999996</v>
      </c>
      <c r="P141" s="21">
        <v>93555.71</v>
      </c>
    </row>
    <row r="142" spans="1:16">
      <c r="A142" s="9" t="s">
        <v>58</v>
      </c>
      <c r="B142" s="9">
        <f t="shared" si="4"/>
        <v>2025</v>
      </c>
      <c r="C142" s="9">
        <f t="shared" si="5"/>
        <v>3</v>
      </c>
      <c r="D142" s="10">
        <v>45717</v>
      </c>
      <c r="E142" s="9" t="s">
        <v>20</v>
      </c>
      <c r="F142" s="9" t="s">
        <v>16</v>
      </c>
      <c r="G142" s="21">
        <v>53351.7</v>
      </c>
      <c r="H142" s="21">
        <v>4259</v>
      </c>
      <c r="I142" s="21">
        <v>0.156</v>
      </c>
      <c r="J142" s="21">
        <v>15</v>
      </c>
      <c r="K142" s="21">
        <v>93.7</v>
      </c>
      <c r="L142" s="21">
        <v>6.03</v>
      </c>
      <c r="M142" s="21">
        <v>0</v>
      </c>
      <c r="N142" s="21">
        <v>3.4</v>
      </c>
      <c r="O142" s="21">
        <v>601568.87</v>
      </c>
      <c r="P142" s="21">
        <v>91634.82</v>
      </c>
    </row>
    <row r="143" spans="1:16">
      <c r="A143" s="9" t="s">
        <v>58</v>
      </c>
      <c r="B143" s="9">
        <f t="shared" si="4"/>
        <v>2025</v>
      </c>
      <c r="C143" s="9">
        <f t="shared" si="5"/>
        <v>4</v>
      </c>
      <c r="D143" s="10">
        <v>45748</v>
      </c>
      <c r="E143" s="9" t="s">
        <v>20</v>
      </c>
      <c r="F143" s="9" t="s">
        <v>16</v>
      </c>
      <c r="G143" s="21">
        <v>60322.400000000001</v>
      </c>
      <c r="H143" s="21">
        <v>3350</v>
      </c>
      <c r="I143" s="21">
        <v>0.108</v>
      </c>
      <c r="J143" s="21">
        <v>12</v>
      </c>
      <c r="K143" s="21">
        <v>89.4</v>
      </c>
      <c r="L143" s="21">
        <v>4.92</v>
      </c>
      <c r="M143" s="21">
        <v>0</v>
      </c>
      <c r="N143" s="21">
        <v>3.4</v>
      </c>
      <c r="O143" s="21">
        <v>570964.84</v>
      </c>
      <c r="P143" s="21">
        <v>81331.070000000007</v>
      </c>
    </row>
    <row r="144" spans="1:16">
      <c r="A144" s="9" t="s">
        <v>59</v>
      </c>
      <c r="B144" s="9">
        <f t="shared" si="4"/>
        <v>2025</v>
      </c>
      <c r="C144" s="9">
        <f t="shared" si="5"/>
        <v>1</v>
      </c>
      <c r="D144" s="10">
        <v>45658</v>
      </c>
      <c r="E144" s="9" t="s">
        <v>24</v>
      </c>
      <c r="F144" s="9" t="s">
        <v>28</v>
      </c>
      <c r="G144" s="21">
        <v>51575.68</v>
      </c>
      <c r="H144" s="21">
        <v>5329</v>
      </c>
      <c r="I144" s="21">
        <v>4.7E-2</v>
      </c>
      <c r="J144" s="21">
        <v>17</v>
      </c>
      <c r="K144" s="21">
        <v>88.1</v>
      </c>
      <c r="L144" s="21">
        <v>19.78</v>
      </c>
      <c r="M144" s="21">
        <v>0</v>
      </c>
      <c r="N144" s="21">
        <v>3.8</v>
      </c>
      <c r="O144" s="21">
        <v>614024.91</v>
      </c>
      <c r="P144" s="21">
        <v>84828.93</v>
      </c>
    </row>
    <row r="145" spans="1:16">
      <c r="A145" s="9" t="s">
        <v>59</v>
      </c>
      <c r="B145" s="9">
        <f t="shared" si="4"/>
        <v>2025</v>
      </c>
      <c r="C145" s="9">
        <f t="shared" si="5"/>
        <v>2</v>
      </c>
      <c r="D145" s="10">
        <v>45689</v>
      </c>
      <c r="E145" s="9" t="s">
        <v>24</v>
      </c>
      <c r="F145" s="9" t="s">
        <v>28</v>
      </c>
      <c r="G145" s="21">
        <v>43319.94</v>
      </c>
      <c r="H145" s="21">
        <v>6551</v>
      </c>
      <c r="I145" s="21">
        <v>4.3999999999999997E-2</v>
      </c>
      <c r="J145" s="21">
        <v>13</v>
      </c>
      <c r="K145" s="21">
        <v>99</v>
      </c>
      <c r="L145" s="21">
        <v>5.45</v>
      </c>
      <c r="M145" s="21">
        <v>0</v>
      </c>
      <c r="N145" s="21">
        <v>4.0999999999999996</v>
      </c>
      <c r="O145" s="21">
        <v>712868.35</v>
      </c>
      <c r="P145" s="21">
        <v>133650.51</v>
      </c>
    </row>
    <row r="146" spans="1:16">
      <c r="A146" s="9" t="s">
        <v>59</v>
      </c>
      <c r="B146" s="9">
        <f t="shared" si="4"/>
        <v>2025</v>
      </c>
      <c r="C146" s="9">
        <f t="shared" si="5"/>
        <v>3</v>
      </c>
      <c r="D146" s="10">
        <v>45717</v>
      </c>
      <c r="E146" s="9" t="s">
        <v>24</v>
      </c>
      <c r="F146" s="9" t="s">
        <v>28</v>
      </c>
      <c r="G146" s="21">
        <v>47093.55</v>
      </c>
      <c r="H146" s="21">
        <v>5550</v>
      </c>
      <c r="I146" s="21">
        <v>0.1</v>
      </c>
      <c r="J146" s="21">
        <v>12</v>
      </c>
      <c r="K146" s="21">
        <v>95</v>
      </c>
      <c r="L146" s="21">
        <v>2.33</v>
      </c>
      <c r="M146" s="21">
        <v>1</v>
      </c>
      <c r="N146" s="21">
        <v>3.7</v>
      </c>
      <c r="O146" s="21">
        <v>696744.15</v>
      </c>
      <c r="P146" s="21">
        <v>152230.09</v>
      </c>
    </row>
    <row r="147" spans="1:16">
      <c r="A147" s="9" t="s">
        <v>59</v>
      </c>
      <c r="B147" s="9">
        <f t="shared" si="4"/>
        <v>2025</v>
      </c>
      <c r="C147" s="9">
        <f t="shared" si="5"/>
        <v>4</v>
      </c>
      <c r="D147" s="10">
        <v>45748</v>
      </c>
      <c r="E147" s="9" t="s">
        <v>24</v>
      </c>
      <c r="F147" s="9" t="s">
        <v>28</v>
      </c>
      <c r="G147" s="21">
        <v>71855.09</v>
      </c>
      <c r="H147" s="21">
        <v>5911</v>
      </c>
      <c r="I147" s="21">
        <v>0.19700000000000001</v>
      </c>
      <c r="J147" s="21">
        <v>15</v>
      </c>
      <c r="K147" s="21">
        <v>94.3</v>
      </c>
      <c r="L147" s="21">
        <v>3.55</v>
      </c>
      <c r="M147" s="21">
        <v>0</v>
      </c>
      <c r="N147" s="21">
        <v>4.0999999999999996</v>
      </c>
      <c r="O147" s="21">
        <v>725847.99</v>
      </c>
      <c r="P147" s="21">
        <v>122698.73</v>
      </c>
    </row>
    <row r="148" spans="1:16">
      <c r="A148" s="9" t="s">
        <v>60</v>
      </c>
      <c r="B148" s="9">
        <f t="shared" si="4"/>
        <v>2025</v>
      </c>
      <c r="C148" s="9">
        <f t="shared" si="5"/>
        <v>1</v>
      </c>
      <c r="D148" s="10">
        <v>45658</v>
      </c>
      <c r="E148" s="9" t="s">
        <v>15</v>
      </c>
      <c r="F148" s="9" t="s">
        <v>18</v>
      </c>
      <c r="G148" s="21">
        <v>75645.23</v>
      </c>
      <c r="H148" s="21">
        <v>9674</v>
      </c>
      <c r="I148" s="21">
        <v>0.23400000000000001</v>
      </c>
      <c r="J148" s="21">
        <v>21</v>
      </c>
      <c r="K148" s="21">
        <v>87.4</v>
      </c>
      <c r="L148" s="21">
        <v>0.2</v>
      </c>
      <c r="M148" s="21">
        <v>0</v>
      </c>
      <c r="N148" s="21">
        <v>4.5</v>
      </c>
      <c r="O148" s="21">
        <v>785028.25</v>
      </c>
      <c r="P148" s="21">
        <v>110726.44</v>
      </c>
    </row>
    <row r="149" spans="1:16">
      <c r="A149" s="9" t="s">
        <v>60</v>
      </c>
      <c r="B149" s="9">
        <f t="shared" si="4"/>
        <v>2025</v>
      </c>
      <c r="C149" s="9">
        <f t="shared" si="5"/>
        <v>2</v>
      </c>
      <c r="D149" s="10">
        <v>45689</v>
      </c>
      <c r="E149" s="9" t="s">
        <v>15</v>
      </c>
      <c r="F149" s="9" t="s">
        <v>18</v>
      </c>
      <c r="G149" s="21">
        <v>64374.75</v>
      </c>
      <c r="H149" s="21">
        <v>6740</v>
      </c>
      <c r="I149" s="21">
        <v>0.16900000000000001</v>
      </c>
      <c r="J149" s="21">
        <v>18</v>
      </c>
      <c r="K149" s="21">
        <v>87</v>
      </c>
      <c r="L149" s="21">
        <v>2.09</v>
      </c>
      <c r="M149" s="21">
        <v>0</v>
      </c>
      <c r="N149" s="21">
        <v>4.2</v>
      </c>
      <c r="O149" s="21">
        <v>698492.67</v>
      </c>
      <c r="P149" s="21">
        <v>117319.32</v>
      </c>
    </row>
    <row r="150" spans="1:16">
      <c r="A150" s="9" t="s">
        <v>60</v>
      </c>
      <c r="B150" s="9">
        <f t="shared" si="4"/>
        <v>2025</v>
      </c>
      <c r="C150" s="9">
        <f t="shared" si="5"/>
        <v>3</v>
      </c>
      <c r="D150" s="10">
        <v>45717</v>
      </c>
      <c r="E150" s="9" t="s">
        <v>15</v>
      </c>
      <c r="F150" s="9" t="s">
        <v>18</v>
      </c>
      <c r="G150" s="21">
        <v>61433.84</v>
      </c>
      <c r="H150" s="21">
        <v>7745</v>
      </c>
      <c r="I150" s="21">
        <v>0.18</v>
      </c>
      <c r="J150" s="21">
        <v>16</v>
      </c>
      <c r="K150" s="21">
        <v>90.5</v>
      </c>
      <c r="L150" s="21">
        <v>2.2599999999999998</v>
      </c>
      <c r="M150" s="21">
        <v>0</v>
      </c>
      <c r="N150" s="21">
        <v>4.2</v>
      </c>
      <c r="O150" s="21">
        <v>685830.24</v>
      </c>
      <c r="P150" s="21">
        <v>128736.18</v>
      </c>
    </row>
    <row r="151" spans="1:16">
      <c r="A151" s="9" t="s">
        <v>60</v>
      </c>
      <c r="B151" s="9">
        <f t="shared" si="4"/>
        <v>2025</v>
      </c>
      <c r="C151" s="9">
        <f t="shared" si="5"/>
        <v>4</v>
      </c>
      <c r="D151" s="10">
        <v>45748</v>
      </c>
      <c r="E151" s="9" t="s">
        <v>15</v>
      </c>
      <c r="F151" s="9" t="s">
        <v>18</v>
      </c>
      <c r="G151" s="21">
        <v>42698.14</v>
      </c>
      <c r="H151" s="21">
        <v>7693</v>
      </c>
      <c r="I151" s="21">
        <v>0.187</v>
      </c>
      <c r="J151" s="21">
        <v>19</v>
      </c>
      <c r="K151" s="21">
        <v>90.1</v>
      </c>
      <c r="L151" s="21">
        <v>0.44</v>
      </c>
      <c r="M151" s="21">
        <v>0</v>
      </c>
      <c r="N151" s="21">
        <v>4.4000000000000004</v>
      </c>
      <c r="O151" s="21">
        <v>702318.94</v>
      </c>
      <c r="P151" s="21">
        <v>112829.29</v>
      </c>
    </row>
    <row r="152" spans="1:16">
      <c r="A152" s="9" t="s">
        <v>61</v>
      </c>
      <c r="B152" s="9">
        <f t="shared" si="4"/>
        <v>2025</v>
      </c>
      <c r="C152" s="9">
        <f t="shared" si="5"/>
        <v>1</v>
      </c>
      <c r="D152" s="10">
        <v>45658</v>
      </c>
      <c r="E152" s="9" t="s">
        <v>20</v>
      </c>
      <c r="F152" s="9" t="s">
        <v>28</v>
      </c>
      <c r="G152" s="21">
        <v>86883.31</v>
      </c>
      <c r="H152" s="21">
        <v>6424</v>
      </c>
      <c r="I152" s="21">
        <v>5.7000000000000002E-2</v>
      </c>
      <c r="J152" s="21">
        <v>19</v>
      </c>
      <c r="K152" s="21">
        <v>85.2</v>
      </c>
      <c r="L152" s="21">
        <v>3.08</v>
      </c>
      <c r="M152" s="21">
        <v>0</v>
      </c>
      <c r="N152" s="21">
        <v>3.9</v>
      </c>
      <c r="O152" s="21">
        <v>700078.32</v>
      </c>
      <c r="P152" s="21">
        <v>123707.58</v>
      </c>
    </row>
    <row r="153" spans="1:16">
      <c r="A153" s="9" t="s">
        <v>61</v>
      </c>
      <c r="B153" s="9">
        <f t="shared" si="4"/>
        <v>2025</v>
      </c>
      <c r="C153" s="9">
        <f t="shared" si="5"/>
        <v>2</v>
      </c>
      <c r="D153" s="10">
        <v>45689</v>
      </c>
      <c r="E153" s="9" t="s">
        <v>20</v>
      </c>
      <c r="F153" s="9" t="s">
        <v>28</v>
      </c>
      <c r="G153" s="21">
        <v>41863.08</v>
      </c>
      <c r="H153" s="21">
        <v>5400</v>
      </c>
      <c r="I153" s="21">
        <v>0.114</v>
      </c>
      <c r="J153" s="21">
        <v>11</v>
      </c>
      <c r="K153" s="21">
        <v>91.6</v>
      </c>
      <c r="L153" s="21">
        <v>7.99</v>
      </c>
      <c r="M153" s="21">
        <v>0</v>
      </c>
      <c r="N153" s="21">
        <v>3</v>
      </c>
      <c r="O153" s="21">
        <v>602002.31999999995</v>
      </c>
      <c r="P153" s="21">
        <v>110453.28</v>
      </c>
    </row>
    <row r="154" spans="1:16">
      <c r="A154" s="9" t="s">
        <v>61</v>
      </c>
      <c r="B154" s="9">
        <f t="shared" si="4"/>
        <v>2025</v>
      </c>
      <c r="C154" s="9">
        <f t="shared" si="5"/>
        <v>3</v>
      </c>
      <c r="D154" s="10">
        <v>45717</v>
      </c>
      <c r="E154" s="9" t="s">
        <v>20</v>
      </c>
      <c r="F154" s="9" t="s">
        <v>28</v>
      </c>
      <c r="G154" s="21">
        <v>56918.16</v>
      </c>
      <c r="H154" s="21">
        <v>7015</v>
      </c>
      <c r="I154" s="21">
        <v>0.158</v>
      </c>
      <c r="J154" s="21">
        <v>18</v>
      </c>
      <c r="K154" s="21">
        <v>74.2</v>
      </c>
      <c r="L154" s="21">
        <v>0.2</v>
      </c>
      <c r="M154" s="21">
        <v>0</v>
      </c>
      <c r="N154" s="21">
        <v>3.4</v>
      </c>
      <c r="O154" s="21">
        <v>724216.07</v>
      </c>
      <c r="P154" s="21">
        <v>100627.56</v>
      </c>
    </row>
    <row r="155" spans="1:16">
      <c r="A155" s="9" t="s">
        <v>61</v>
      </c>
      <c r="B155" s="9">
        <f t="shared" si="4"/>
        <v>2025</v>
      </c>
      <c r="C155" s="9">
        <f t="shared" si="5"/>
        <v>4</v>
      </c>
      <c r="D155" s="10">
        <v>45748</v>
      </c>
      <c r="E155" s="9" t="s">
        <v>20</v>
      </c>
      <c r="F155" s="9" t="s">
        <v>28</v>
      </c>
      <c r="G155" s="21">
        <v>23254.57</v>
      </c>
      <c r="H155" s="21">
        <v>3847</v>
      </c>
      <c r="I155" s="21">
        <v>0.159</v>
      </c>
      <c r="J155" s="21">
        <v>12</v>
      </c>
      <c r="K155" s="21">
        <v>93</v>
      </c>
      <c r="L155" s="21">
        <v>5.46</v>
      </c>
      <c r="M155" s="21">
        <v>0</v>
      </c>
      <c r="N155" s="21">
        <v>3.3</v>
      </c>
      <c r="O155" s="21">
        <v>620973.03</v>
      </c>
      <c r="P155" s="21">
        <v>72303.850000000006</v>
      </c>
    </row>
    <row r="156" spans="1:16">
      <c r="A156" s="9" t="s">
        <v>62</v>
      </c>
      <c r="B156" s="9">
        <f t="shared" si="4"/>
        <v>2025</v>
      </c>
      <c r="C156" s="9">
        <f t="shared" si="5"/>
        <v>1</v>
      </c>
      <c r="D156" s="10">
        <v>45658</v>
      </c>
      <c r="E156" s="9" t="s">
        <v>24</v>
      </c>
      <c r="F156" s="9" t="s">
        <v>18</v>
      </c>
      <c r="G156" s="21">
        <v>41443.410000000003</v>
      </c>
      <c r="H156" s="21">
        <v>7455</v>
      </c>
      <c r="I156" s="21">
        <v>0.17499999999999999</v>
      </c>
      <c r="J156" s="21">
        <v>16</v>
      </c>
      <c r="K156" s="21">
        <v>90.1</v>
      </c>
      <c r="L156" s="21">
        <v>4.05</v>
      </c>
      <c r="M156" s="21">
        <v>0</v>
      </c>
      <c r="N156" s="21">
        <v>4</v>
      </c>
      <c r="O156" s="21">
        <v>650480.06000000006</v>
      </c>
      <c r="P156" s="21">
        <v>109012.07</v>
      </c>
    </row>
    <row r="157" spans="1:16">
      <c r="A157" s="9" t="s">
        <v>62</v>
      </c>
      <c r="B157" s="9">
        <f t="shared" si="4"/>
        <v>2025</v>
      </c>
      <c r="C157" s="9">
        <f t="shared" si="5"/>
        <v>2</v>
      </c>
      <c r="D157" s="10">
        <v>45689</v>
      </c>
      <c r="E157" s="9" t="s">
        <v>24</v>
      </c>
      <c r="F157" s="9" t="s">
        <v>18</v>
      </c>
      <c r="G157" s="21">
        <v>48438.85</v>
      </c>
      <c r="H157" s="21">
        <v>6992</v>
      </c>
      <c r="I157" s="21">
        <v>3.4000000000000002E-2</v>
      </c>
      <c r="J157" s="21">
        <v>20</v>
      </c>
      <c r="K157" s="21">
        <v>91</v>
      </c>
      <c r="L157" s="21">
        <v>4.3600000000000003</v>
      </c>
      <c r="M157" s="21">
        <v>0</v>
      </c>
      <c r="N157" s="21">
        <v>4.2</v>
      </c>
      <c r="O157" s="21">
        <v>778298.88</v>
      </c>
      <c r="P157" s="21">
        <v>130076.72</v>
      </c>
    </row>
    <row r="158" spans="1:16">
      <c r="A158" s="9" t="s">
        <v>62</v>
      </c>
      <c r="B158" s="9">
        <f t="shared" si="4"/>
        <v>2025</v>
      </c>
      <c r="C158" s="9">
        <f t="shared" si="5"/>
        <v>4</v>
      </c>
      <c r="D158" s="10">
        <v>45748</v>
      </c>
      <c r="E158" s="9" t="s">
        <v>24</v>
      </c>
      <c r="F158" s="9" t="s">
        <v>18</v>
      </c>
      <c r="G158" s="21">
        <v>66870.62</v>
      </c>
      <c r="H158" s="21">
        <v>6055</v>
      </c>
      <c r="I158" s="21">
        <v>7.4999999999999997E-2</v>
      </c>
      <c r="J158" s="21">
        <v>19</v>
      </c>
      <c r="K158" s="21">
        <v>93.8</v>
      </c>
      <c r="L158" s="21">
        <v>0.54</v>
      </c>
      <c r="M158" s="21">
        <v>0</v>
      </c>
      <c r="N158" s="21">
        <v>4.3</v>
      </c>
      <c r="O158" s="21">
        <v>692008.64</v>
      </c>
      <c r="P158" s="21">
        <v>116337.87</v>
      </c>
    </row>
    <row r="159" spans="1:16">
      <c r="A159" s="9" t="s">
        <v>63</v>
      </c>
      <c r="B159" s="9">
        <f t="shared" si="4"/>
        <v>2025</v>
      </c>
      <c r="C159" s="9">
        <f t="shared" si="5"/>
        <v>1</v>
      </c>
      <c r="D159" s="10">
        <v>45658</v>
      </c>
      <c r="E159" s="9" t="s">
        <v>20</v>
      </c>
      <c r="F159" s="9" t="s">
        <v>28</v>
      </c>
      <c r="G159" s="21">
        <v>72150.53</v>
      </c>
      <c r="H159" s="21">
        <v>9323</v>
      </c>
      <c r="I159" s="21">
        <v>0.157</v>
      </c>
      <c r="J159" s="21">
        <v>22</v>
      </c>
      <c r="K159" s="21">
        <v>82.9</v>
      </c>
      <c r="L159" s="21">
        <v>11.37</v>
      </c>
      <c r="M159" s="21">
        <v>1</v>
      </c>
      <c r="N159" s="21">
        <v>4.3</v>
      </c>
      <c r="O159" s="21">
        <v>825797.91</v>
      </c>
      <c r="P159" s="21">
        <v>130945.24</v>
      </c>
    </row>
    <row r="160" spans="1:16">
      <c r="A160" s="9" t="s">
        <v>63</v>
      </c>
      <c r="B160" s="9">
        <f t="shared" si="4"/>
        <v>2025</v>
      </c>
      <c r="C160" s="9">
        <f t="shared" si="5"/>
        <v>2</v>
      </c>
      <c r="D160" s="10">
        <v>45689</v>
      </c>
      <c r="E160" s="9" t="s">
        <v>20</v>
      </c>
      <c r="F160" s="9" t="s">
        <v>28</v>
      </c>
      <c r="G160" s="21">
        <v>35303.300000000003</v>
      </c>
      <c r="H160" s="21">
        <v>8789</v>
      </c>
      <c r="I160" s="21">
        <v>0.123</v>
      </c>
      <c r="J160" s="21">
        <v>22</v>
      </c>
      <c r="K160" s="21">
        <v>86.1</v>
      </c>
      <c r="L160" s="21">
        <v>9.43</v>
      </c>
      <c r="M160" s="21">
        <v>0</v>
      </c>
      <c r="N160" s="21">
        <v>4.2</v>
      </c>
      <c r="O160" s="21">
        <v>706285.52</v>
      </c>
      <c r="P160" s="21">
        <v>138014.72</v>
      </c>
    </row>
    <row r="161" spans="1:16">
      <c r="A161" s="9" t="s">
        <v>63</v>
      </c>
      <c r="B161" s="9">
        <f t="shared" si="4"/>
        <v>2025</v>
      </c>
      <c r="C161" s="9">
        <f t="shared" si="5"/>
        <v>3</v>
      </c>
      <c r="D161" s="10">
        <v>45717</v>
      </c>
      <c r="E161" s="9" t="s">
        <v>20</v>
      </c>
      <c r="F161" s="9" t="s">
        <v>28</v>
      </c>
      <c r="G161" s="21">
        <v>30301.86</v>
      </c>
      <c r="H161" s="21">
        <v>6939</v>
      </c>
      <c r="I161" s="21">
        <v>0.09</v>
      </c>
      <c r="J161" s="21">
        <v>16</v>
      </c>
      <c r="K161" s="21">
        <v>90.3</v>
      </c>
      <c r="L161" s="21">
        <v>3.49</v>
      </c>
      <c r="M161" s="21">
        <v>0</v>
      </c>
      <c r="N161" s="21">
        <v>4</v>
      </c>
      <c r="O161" s="21">
        <v>665534.69999999995</v>
      </c>
      <c r="P161" s="21">
        <v>113167.73</v>
      </c>
    </row>
    <row r="162" spans="1:16">
      <c r="A162" s="9" t="s">
        <v>63</v>
      </c>
      <c r="B162" s="9">
        <f t="shared" si="4"/>
        <v>2025</v>
      </c>
      <c r="C162" s="9">
        <f t="shared" si="5"/>
        <v>4</v>
      </c>
      <c r="D162" s="10">
        <v>45748</v>
      </c>
      <c r="E162" s="9" t="s">
        <v>20</v>
      </c>
      <c r="F162" s="9" t="s">
        <v>28</v>
      </c>
      <c r="G162" s="21">
        <v>78432.14</v>
      </c>
      <c r="H162" s="21">
        <v>9440</v>
      </c>
      <c r="I162" s="21">
        <v>0.126</v>
      </c>
      <c r="J162" s="21">
        <v>23</v>
      </c>
      <c r="K162" s="21">
        <v>89.2</v>
      </c>
      <c r="L162" s="21">
        <v>7.86</v>
      </c>
      <c r="M162" s="21">
        <v>0</v>
      </c>
      <c r="N162" s="21">
        <v>4.0999999999999996</v>
      </c>
      <c r="O162" s="21">
        <v>820729.29</v>
      </c>
      <c r="P162" s="21">
        <v>159325.47</v>
      </c>
    </row>
    <row r="163" spans="1:16">
      <c r="A163" s="9" t="s">
        <v>64</v>
      </c>
      <c r="B163" s="9">
        <f t="shared" si="4"/>
        <v>2025</v>
      </c>
      <c r="C163" s="9">
        <f t="shared" si="5"/>
        <v>1</v>
      </c>
      <c r="D163" s="10">
        <v>45658</v>
      </c>
      <c r="E163" s="9" t="s">
        <v>15</v>
      </c>
      <c r="F163" s="9" t="s">
        <v>16</v>
      </c>
      <c r="G163" s="21">
        <v>62059.18</v>
      </c>
      <c r="H163" s="21">
        <v>9374</v>
      </c>
      <c r="I163" s="21">
        <v>0.13600000000000001</v>
      </c>
      <c r="J163" s="21">
        <v>25</v>
      </c>
      <c r="K163" s="21">
        <v>87.1</v>
      </c>
      <c r="L163" s="21">
        <v>12.55</v>
      </c>
      <c r="M163" s="21">
        <v>0</v>
      </c>
      <c r="N163" s="21">
        <v>4.9000000000000004</v>
      </c>
      <c r="O163" s="21">
        <v>739831.73</v>
      </c>
      <c r="P163" s="21">
        <v>119490.21</v>
      </c>
    </row>
    <row r="164" spans="1:16">
      <c r="A164" s="9" t="s">
        <v>64</v>
      </c>
      <c r="B164" s="9">
        <f t="shared" si="4"/>
        <v>2025</v>
      </c>
      <c r="C164" s="9">
        <f t="shared" si="5"/>
        <v>2</v>
      </c>
      <c r="D164" s="10">
        <v>45689</v>
      </c>
      <c r="E164" s="9" t="s">
        <v>15</v>
      </c>
      <c r="F164" s="9" t="s">
        <v>16</v>
      </c>
      <c r="G164" s="21">
        <v>32834.480000000003</v>
      </c>
      <c r="H164" s="21">
        <v>7576</v>
      </c>
      <c r="I164" s="21">
        <v>9.9000000000000005E-2</v>
      </c>
      <c r="J164" s="21">
        <v>15</v>
      </c>
      <c r="K164" s="21">
        <v>84.1</v>
      </c>
      <c r="L164" s="21">
        <v>3.48</v>
      </c>
      <c r="M164" s="21">
        <v>0</v>
      </c>
      <c r="N164" s="21">
        <v>5</v>
      </c>
      <c r="O164" s="21">
        <v>593637.14</v>
      </c>
      <c r="P164" s="21">
        <v>106648.14</v>
      </c>
    </row>
    <row r="165" spans="1:16">
      <c r="A165" s="9" t="s">
        <v>64</v>
      </c>
      <c r="B165" s="9">
        <f t="shared" si="4"/>
        <v>2025</v>
      </c>
      <c r="C165" s="9">
        <f t="shared" si="5"/>
        <v>3</v>
      </c>
      <c r="D165" s="10">
        <v>45717</v>
      </c>
      <c r="E165" s="9" t="s">
        <v>15</v>
      </c>
      <c r="F165" s="9" t="s">
        <v>16</v>
      </c>
      <c r="G165" s="21">
        <v>50825.08</v>
      </c>
      <c r="H165" s="21">
        <v>8949</v>
      </c>
      <c r="I165" s="21">
        <v>0.157</v>
      </c>
      <c r="J165" s="21">
        <v>21</v>
      </c>
      <c r="K165" s="21">
        <v>84.7</v>
      </c>
      <c r="L165" s="21">
        <v>7.73</v>
      </c>
      <c r="M165" s="21">
        <v>0</v>
      </c>
      <c r="N165" s="21">
        <v>4.9000000000000004</v>
      </c>
      <c r="O165" s="21">
        <v>769702.76</v>
      </c>
      <c r="P165" s="21">
        <v>158697</v>
      </c>
    </row>
    <row r="166" spans="1:16">
      <c r="A166" s="9" t="s">
        <v>64</v>
      </c>
      <c r="B166" s="9">
        <f t="shared" si="4"/>
        <v>2025</v>
      </c>
      <c r="C166" s="9">
        <f t="shared" si="5"/>
        <v>4</v>
      </c>
      <c r="D166" s="10">
        <v>45748</v>
      </c>
      <c r="E166" s="9" t="s">
        <v>15</v>
      </c>
      <c r="F166" s="9" t="s">
        <v>16</v>
      </c>
      <c r="G166" s="21">
        <v>36606.51</v>
      </c>
      <c r="H166" s="21">
        <v>7671</v>
      </c>
      <c r="I166" s="21">
        <v>0.11799999999999999</v>
      </c>
      <c r="J166" s="21">
        <v>18</v>
      </c>
      <c r="K166" s="21">
        <v>89.8</v>
      </c>
      <c r="L166" s="21">
        <v>0.25</v>
      </c>
      <c r="M166" s="21">
        <v>0</v>
      </c>
      <c r="N166" s="21">
        <v>4.4000000000000004</v>
      </c>
      <c r="O166" s="21">
        <v>679731.57</v>
      </c>
      <c r="P166" s="21">
        <v>121546.42</v>
      </c>
    </row>
    <row r="167" spans="1:16">
      <c r="A167" s="9" t="s">
        <v>65</v>
      </c>
      <c r="B167" s="9">
        <f t="shared" si="4"/>
        <v>2025</v>
      </c>
      <c r="C167" s="9">
        <f t="shared" si="5"/>
        <v>1</v>
      </c>
      <c r="D167" s="10">
        <v>45658</v>
      </c>
      <c r="E167" s="9" t="s">
        <v>15</v>
      </c>
      <c r="F167" s="9" t="s">
        <v>16</v>
      </c>
      <c r="G167" s="21">
        <v>65237.79</v>
      </c>
      <c r="H167" s="21">
        <v>8741</v>
      </c>
      <c r="I167" s="21">
        <v>0.157</v>
      </c>
      <c r="J167" s="21">
        <v>20</v>
      </c>
      <c r="K167" s="21">
        <v>94.4</v>
      </c>
      <c r="L167" s="21">
        <v>6.43</v>
      </c>
      <c r="M167" s="21">
        <v>0</v>
      </c>
      <c r="N167" s="21">
        <v>3.3</v>
      </c>
      <c r="O167" s="21">
        <v>780344.18</v>
      </c>
      <c r="P167" s="21">
        <v>118239.09</v>
      </c>
    </row>
    <row r="168" spans="1:16">
      <c r="A168" s="9" t="s">
        <v>65</v>
      </c>
      <c r="B168" s="9">
        <f t="shared" si="4"/>
        <v>2025</v>
      </c>
      <c r="C168" s="9">
        <f t="shared" si="5"/>
        <v>2</v>
      </c>
      <c r="D168" s="10">
        <v>45689</v>
      </c>
      <c r="E168" s="9" t="s">
        <v>15</v>
      </c>
      <c r="F168" s="9" t="s">
        <v>16</v>
      </c>
      <c r="G168" s="21">
        <v>43645.98</v>
      </c>
      <c r="H168" s="21">
        <v>9480</v>
      </c>
      <c r="I168" s="21">
        <v>0.109</v>
      </c>
      <c r="J168" s="21">
        <v>22</v>
      </c>
      <c r="K168" s="21">
        <v>89</v>
      </c>
      <c r="L168" s="21">
        <v>2.11</v>
      </c>
      <c r="M168" s="21">
        <v>0</v>
      </c>
      <c r="N168" s="21">
        <v>3.1</v>
      </c>
      <c r="O168" s="21">
        <v>721364.11</v>
      </c>
      <c r="P168" s="21">
        <v>147272.81</v>
      </c>
    </row>
    <row r="169" spans="1:16">
      <c r="A169" s="9" t="s">
        <v>65</v>
      </c>
      <c r="B169" s="9">
        <f t="shared" si="4"/>
        <v>2025</v>
      </c>
      <c r="C169" s="9">
        <f t="shared" si="5"/>
        <v>3</v>
      </c>
      <c r="D169" s="10">
        <v>45717</v>
      </c>
      <c r="E169" s="9" t="s">
        <v>15</v>
      </c>
      <c r="F169" s="9" t="s">
        <v>16</v>
      </c>
      <c r="G169" s="21">
        <v>68040.149999999994</v>
      </c>
      <c r="H169" s="21">
        <v>9826</v>
      </c>
      <c r="I169" s="21">
        <v>0.125</v>
      </c>
      <c r="J169" s="21">
        <v>20</v>
      </c>
      <c r="K169" s="21">
        <v>83.9</v>
      </c>
      <c r="L169" s="21">
        <v>9.1199999999999992</v>
      </c>
      <c r="M169" s="21">
        <v>0</v>
      </c>
      <c r="N169" s="21">
        <v>3.6</v>
      </c>
      <c r="O169" s="21">
        <v>758138.29</v>
      </c>
      <c r="P169" s="21">
        <v>132975.26</v>
      </c>
    </row>
    <row r="170" spans="1:16">
      <c r="A170" s="9" t="s">
        <v>65</v>
      </c>
      <c r="B170" s="9">
        <f t="shared" si="4"/>
        <v>2025</v>
      </c>
      <c r="C170" s="9">
        <f t="shared" si="5"/>
        <v>4</v>
      </c>
      <c r="D170" s="10">
        <v>45748</v>
      </c>
      <c r="E170" s="9" t="s">
        <v>15</v>
      </c>
      <c r="F170" s="9" t="s">
        <v>16</v>
      </c>
      <c r="G170" s="21">
        <v>63043.94</v>
      </c>
      <c r="H170" s="21">
        <v>10402</v>
      </c>
      <c r="I170" s="21">
        <v>0.159</v>
      </c>
      <c r="J170" s="21">
        <v>23</v>
      </c>
      <c r="K170" s="21">
        <v>93.9</v>
      </c>
      <c r="L170" s="21">
        <v>2.71</v>
      </c>
      <c r="M170" s="21">
        <v>0</v>
      </c>
      <c r="N170" s="21">
        <v>3.1</v>
      </c>
      <c r="O170" s="21">
        <v>804264</v>
      </c>
      <c r="P170" s="21">
        <v>167117.91</v>
      </c>
    </row>
    <row r="171" spans="1:16">
      <c r="A171" s="9" t="s">
        <v>66</v>
      </c>
      <c r="B171" s="9">
        <f t="shared" si="4"/>
        <v>2025</v>
      </c>
      <c r="C171" s="9">
        <f t="shared" si="5"/>
        <v>1</v>
      </c>
      <c r="D171" s="10">
        <v>45658</v>
      </c>
      <c r="E171" s="9" t="s">
        <v>27</v>
      </c>
      <c r="F171" s="9" t="s">
        <v>21</v>
      </c>
      <c r="G171" s="21">
        <v>67494.09</v>
      </c>
      <c r="H171" s="21">
        <v>12361</v>
      </c>
      <c r="I171" s="21">
        <v>4.5999999999999999E-2</v>
      </c>
      <c r="J171" s="21">
        <v>24</v>
      </c>
      <c r="K171" s="21">
        <v>76.599999999999994</v>
      </c>
      <c r="L171" s="21">
        <v>3.65</v>
      </c>
      <c r="M171" s="21">
        <v>1</v>
      </c>
      <c r="N171" s="21">
        <v>3.7</v>
      </c>
      <c r="O171" s="21">
        <v>887537.75</v>
      </c>
      <c r="P171" s="21">
        <v>160362.92000000001</v>
      </c>
    </row>
    <row r="172" spans="1:16">
      <c r="A172" s="9" t="s">
        <v>66</v>
      </c>
      <c r="B172" s="9">
        <f t="shared" si="4"/>
        <v>2025</v>
      </c>
      <c r="C172" s="9">
        <f t="shared" si="5"/>
        <v>2</v>
      </c>
      <c r="D172" s="10">
        <v>45689</v>
      </c>
      <c r="E172" s="9" t="s">
        <v>27</v>
      </c>
      <c r="F172" s="9" t="s">
        <v>21</v>
      </c>
      <c r="G172" s="21">
        <v>29389.32</v>
      </c>
      <c r="H172" s="21">
        <v>7925</v>
      </c>
      <c r="I172" s="21">
        <v>0.17699999999999999</v>
      </c>
      <c r="J172" s="21">
        <v>21</v>
      </c>
      <c r="K172" s="21">
        <v>90.9</v>
      </c>
      <c r="L172" s="21">
        <v>7.86</v>
      </c>
      <c r="M172" s="21">
        <v>0</v>
      </c>
      <c r="N172" s="21">
        <v>4</v>
      </c>
      <c r="O172" s="21">
        <v>783582</v>
      </c>
      <c r="P172" s="21">
        <v>130670.93</v>
      </c>
    </row>
    <row r="173" spans="1:16">
      <c r="A173" s="9" t="s">
        <v>66</v>
      </c>
      <c r="B173" s="9">
        <f t="shared" si="4"/>
        <v>2025</v>
      </c>
      <c r="C173" s="9">
        <f t="shared" si="5"/>
        <v>3</v>
      </c>
      <c r="D173" s="10">
        <v>45717</v>
      </c>
      <c r="E173" s="9" t="s">
        <v>27</v>
      </c>
      <c r="F173" s="9" t="s">
        <v>21</v>
      </c>
      <c r="G173" s="21">
        <v>40535.089999999997</v>
      </c>
      <c r="H173" s="21">
        <v>8870</v>
      </c>
      <c r="I173" s="21">
        <v>4.1000000000000002E-2</v>
      </c>
      <c r="J173" s="21">
        <v>21</v>
      </c>
      <c r="K173" s="21">
        <v>86.6</v>
      </c>
      <c r="L173" s="21">
        <v>0.3</v>
      </c>
      <c r="M173" s="21">
        <v>0</v>
      </c>
      <c r="N173" s="21">
        <v>4.0999999999999996</v>
      </c>
      <c r="O173" s="21">
        <v>781955.52</v>
      </c>
      <c r="P173" s="21">
        <v>152578.71</v>
      </c>
    </row>
    <row r="174" spans="1:16">
      <c r="A174" s="9" t="s">
        <v>66</v>
      </c>
      <c r="B174" s="9">
        <f t="shared" si="4"/>
        <v>2025</v>
      </c>
      <c r="C174" s="9">
        <f t="shared" si="5"/>
        <v>4</v>
      </c>
      <c r="D174" s="10">
        <v>45748</v>
      </c>
      <c r="E174" s="9" t="s">
        <v>27</v>
      </c>
      <c r="F174" s="9" t="s">
        <v>21</v>
      </c>
      <c r="G174" s="21">
        <v>74881.56</v>
      </c>
      <c r="H174" s="21">
        <v>9999</v>
      </c>
      <c r="I174" s="21">
        <v>1.2999999999999999E-2</v>
      </c>
      <c r="J174" s="21">
        <v>20</v>
      </c>
      <c r="K174" s="21">
        <v>89.6</v>
      </c>
      <c r="L174" s="21">
        <v>8.44</v>
      </c>
      <c r="M174" s="21">
        <v>0</v>
      </c>
      <c r="N174" s="21">
        <v>4.0999999999999996</v>
      </c>
      <c r="O174" s="21">
        <v>898031.04</v>
      </c>
      <c r="P174" s="21">
        <v>138666.5</v>
      </c>
    </row>
    <row r="175" spans="1:16">
      <c r="A175" s="9" t="s">
        <v>67</v>
      </c>
      <c r="B175" s="9">
        <f t="shared" si="4"/>
        <v>2025</v>
      </c>
      <c r="C175" s="9">
        <f t="shared" si="5"/>
        <v>1</v>
      </c>
      <c r="D175" s="10">
        <v>45658</v>
      </c>
      <c r="E175" s="9" t="s">
        <v>27</v>
      </c>
      <c r="F175" s="9" t="s">
        <v>16</v>
      </c>
      <c r="G175" s="21">
        <v>68491.11</v>
      </c>
      <c r="H175" s="21">
        <v>11154</v>
      </c>
      <c r="I175" s="21">
        <v>1E-3</v>
      </c>
      <c r="J175" s="21">
        <v>24</v>
      </c>
      <c r="K175" s="21">
        <v>89.4</v>
      </c>
      <c r="L175" s="21">
        <v>5.27</v>
      </c>
      <c r="M175" s="21">
        <v>1</v>
      </c>
      <c r="N175" s="21">
        <v>3.9</v>
      </c>
      <c r="O175" s="21">
        <v>855341.28</v>
      </c>
      <c r="P175" s="21">
        <v>175823.8</v>
      </c>
    </row>
    <row r="176" spans="1:16">
      <c r="A176" s="9" t="s">
        <v>67</v>
      </c>
      <c r="B176" s="9">
        <f t="shared" si="4"/>
        <v>2025</v>
      </c>
      <c r="C176" s="9">
        <f t="shared" si="5"/>
        <v>2</v>
      </c>
      <c r="D176" s="10">
        <v>45689</v>
      </c>
      <c r="E176" s="9" t="s">
        <v>27</v>
      </c>
      <c r="F176" s="9" t="s">
        <v>16</v>
      </c>
      <c r="G176" s="21">
        <v>45209.25</v>
      </c>
      <c r="H176" s="21">
        <v>9287</v>
      </c>
      <c r="I176" s="21">
        <v>0.14099999999999999</v>
      </c>
      <c r="J176" s="21">
        <v>22</v>
      </c>
      <c r="K176" s="21">
        <v>86.4</v>
      </c>
      <c r="L176" s="21">
        <v>13.22</v>
      </c>
      <c r="M176" s="21">
        <v>0</v>
      </c>
      <c r="N176" s="21">
        <v>3.6</v>
      </c>
      <c r="O176" s="21">
        <v>751393.88</v>
      </c>
      <c r="P176" s="21">
        <v>91480.320000000007</v>
      </c>
    </row>
    <row r="177" spans="1:16">
      <c r="A177" s="9" t="s">
        <v>67</v>
      </c>
      <c r="B177" s="9">
        <f t="shared" si="4"/>
        <v>2025</v>
      </c>
      <c r="C177" s="9">
        <f t="shared" si="5"/>
        <v>3</v>
      </c>
      <c r="D177" s="10">
        <v>45717</v>
      </c>
      <c r="E177" s="9" t="s">
        <v>27</v>
      </c>
      <c r="F177" s="9" t="s">
        <v>16</v>
      </c>
      <c r="G177" s="21">
        <v>63010.23</v>
      </c>
      <c r="H177" s="21">
        <v>9812</v>
      </c>
      <c r="I177" s="21">
        <v>0.113</v>
      </c>
      <c r="J177" s="21">
        <v>24</v>
      </c>
      <c r="K177" s="21">
        <v>76.8</v>
      </c>
      <c r="L177" s="21">
        <v>1.02</v>
      </c>
      <c r="M177" s="21">
        <v>1</v>
      </c>
      <c r="N177" s="21">
        <v>3.8</v>
      </c>
      <c r="O177" s="21">
        <v>761077.08</v>
      </c>
      <c r="P177" s="21">
        <v>113605.93</v>
      </c>
    </row>
    <row r="178" spans="1:16">
      <c r="A178" s="9" t="s">
        <v>67</v>
      </c>
      <c r="B178" s="9">
        <f t="shared" si="4"/>
        <v>2025</v>
      </c>
      <c r="C178" s="9">
        <f t="shared" si="5"/>
        <v>4</v>
      </c>
      <c r="D178" s="10">
        <v>45748</v>
      </c>
      <c r="E178" s="9" t="s">
        <v>27</v>
      </c>
      <c r="F178" s="9" t="s">
        <v>16</v>
      </c>
      <c r="G178" s="21">
        <v>57948.88</v>
      </c>
      <c r="H178" s="21">
        <v>10741</v>
      </c>
      <c r="I178" s="21">
        <v>7.0000000000000007E-2</v>
      </c>
      <c r="J178" s="21">
        <v>25</v>
      </c>
      <c r="K178" s="21">
        <v>90.1</v>
      </c>
      <c r="L178" s="21">
        <v>4.03</v>
      </c>
      <c r="M178" s="21">
        <v>0</v>
      </c>
      <c r="N178" s="21">
        <v>3.1</v>
      </c>
      <c r="O178" s="21">
        <v>819660.59</v>
      </c>
      <c r="P178" s="21">
        <v>172699.95</v>
      </c>
    </row>
    <row r="179" spans="1:16">
      <c r="A179" s="9" t="s">
        <v>68</v>
      </c>
      <c r="B179" s="9">
        <f t="shared" si="4"/>
        <v>2025</v>
      </c>
      <c r="C179" s="9">
        <f t="shared" si="5"/>
        <v>1</v>
      </c>
      <c r="D179" s="10">
        <v>45658</v>
      </c>
      <c r="E179" s="9" t="s">
        <v>20</v>
      </c>
      <c r="F179" s="9" t="s">
        <v>18</v>
      </c>
      <c r="G179" s="21">
        <v>71941.62</v>
      </c>
      <c r="H179" s="21">
        <v>6084</v>
      </c>
      <c r="I179" s="21">
        <v>7.1999999999999995E-2</v>
      </c>
      <c r="J179" s="21">
        <v>13</v>
      </c>
      <c r="K179" s="21">
        <v>93.7</v>
      </c>
      <c r="L179" s="21">
        <v>2.34</v>
      </c>
      <c r="M179" s="21">
        <v>0</v>
      </c>
      <c r="N179" s="21">
        <v>4.4000000000000004</v>
      </c>
      <c r="O179" s="21">
        <v>681855.56</v>
      </c>
      <c r="P179" s="21">
        <v>117645.61</v>
      </c>
    </row>
    <row r="180" spans="1:16">
      <c r="A180" s="9" t="s">
        <v>68</v>
      </c>
      <c r="B180" s="9">
        <f t="shared" si="4"/>
        <v>2025</v>
      </c>
      <c r="C180" s="9">
        <f t="shared" si="5"/>
        <v>2</v>
      </c>
      <c r="D180" s="10">
        <v>45689</v>
      </c>
      <c r="E180" s="9" t="s">
        <v>20</v>
      </c>
      <c r="F180" s="9" t="s">
        <v>18</v>
      </c>
      <c r="G180" s="21">
        <v>57147.88</v>
      </c>
      <c r="H180" s="21">
        <v>5252</v>
      </c>
      <c r="I180" s="21">
        <v>0.161</v>
      </c>
      <c r="J180" s="21">
        <v>15</v>
      </c>
      <c r="K180" s="21">
        <v>95.5</v>
      </c>
      <c r="L180" s="21">
        <v>8.51</v>
      </c>
      <c r="M180" s="21">
        <v>0</v>
      </c>
      <c r="N180" s="21">
        <v>4.4000000000000004</v>
      </c>
      <c r="O180" s="21">
        <v>678311.17</v>
      </c>
      <c r="P180" s="21">
        <v>132029.76000000001</v>
      </c>
    </row>
    <row r="181" spans="1:16">
      <c r="A181" s="9" t="s">
        <v>68</v>
      </c>
      <c r="B181" s="9">
        <f t="shared" si="4"/>
        <v>2025</v>
      </c>
      <c r="C181" s="9">
        <f t="shared" si="5"/>
        <v>3</v>
      </c>
      <c r="D181" s="10">
        <v>45717</v>
      </c>
      <c r="E181" s="9" t="s">
        <v>20</v>
      </c>
      <c r="F181" s="9" t="s">
        <v>18</v>
      </c>
      <c r="G181" s="21">
        <v>48031.74</v>
      </c>
      <c r="H181" s="21">
        <v>6516</v>
      </c>
      <c r="I181" s="21">
        <v>6.7000000000000004E-2</v>
      </c>
      <c r="J181" s="21">
        <v>14</v>
      </c>
      <c r="K181" s="21">
        <v>99</v>
      </c>
      <c r="L181" s="21">
        <v>0.48</v>
      </c>
      <c r="M181" s="21">
        <v>1</v>
      </c>
      <c r="N181" s="21">
        <v>4.3</v>
      </c>
      <c r="O181" s="21">
        <v>765906.95</v>
      </c>
      <c r="P181" s="21">
        <v>114005.9</v>
      </c>
    </row>
    <row r="182" spans="1:16">
      <c r="A182" s="9" t="s">
        <v>68</v>
      </c>
      <c r="B182" s="9">
        <f t="shared" si="4"/>
        <v>2025</v>
      </c>
      <c r="C182" s="9">
        <f t="shared" si="5"/>
        <v>4</v>
      </c>
      <c r="D182" s="10">
        <v>45748</v>
      </c>
      <c r="E182" s="9" t="s">
        <v>20</v>
      </c>
      <c r="F182" s="9" t="s">
        <v>18</v>
      </c>
      <c r="G182" s="21">
        <v>72784.800000000003</v>
      </c>
      <c r="H182" s="21">
        <v>7932</v>
      </c>
      <c r="I182" s="21">
        <v>9.4E-2</v>
      </c>
      <c r="J182" s="21">
        <v>20</v>
      </c>
      <c r="K182" s="21">
        <v>74.900000000000006</v>
      </c>
      <c r="L182" s="21">
        <v>13.62</v>
      </c>
      <c r="M182" s="21">
        <v>0</v>
      </c>
      <c r="N182" s="21">
        <v>4.2</v>
      </c>
      <c r="O182" s="21">
        <v>712546.38</v>
      </c>
      <c r="P182" s="21">
        <v>101480.04</v>
      </c>
    </row>
    <row r="183" spans="1:16">
      <c r="A183" s="9" t="s">
        <v>69</v>
      </c>
      <c r="B183" s="9">
        <f t="shared" si="4"/>
        <v>2025</v>
      </c>
      <c r="C183" s="9">
        <f t="shared" si="5"/>
        <v>1</v>
      </c>
      <c r="D183" s="10">
        <v>45658</v>
      </c>
      <c r="E183" s="9" t="s">
        <v>15</v>
      </c>
      <c r="F183" s="9" t="s">
        <v>18</v>
      </c>
      <c r="G183" s="21">
        <v>71641.899999999994</v>
      </c>
      <c r="H183" s="21">
        <v>3506</v>
      </c>
      <c r="I183" s="21">
        <v>0</v>
      </c>
      <c r="J183" s="21">
        <v>11</v>
      </c>
      <c r="K183" s="21">
        <v>86.4</v>
      </c>
      <c r="L183" s="21">
        <v>7.77</v>
      </c>
      <c r="M183" s="21">
        <v>0</v>
      </c>
      <c r="N183" s="21">
        <v>4.0999999999999996</v>
      </c>
      <c r="O183" s="21">
        <v>625993.82999999996</v>
      </c>
      <c r="P183" s="21">
        <v>98960.320000000007</v>
      </c>
    </row>
    <row r="184" spans="1:16">
      <c r="A184" s="9" t="s">
        <v>69</v>
      </c>
      <c r="B184" s="9">
        <f t="shared" si="4"/>
        <v>2025</v>
      </c>
      <c r="C184" s="9">
        <f t="shared" si="5"/>
        <v>2</v>
      </c>
      <c r="D184" s="10">
        <v>45689</v>
      </c>
      <c r="E184" s="9" t="s">
        <v>15</v>
      </c>
      <c r="F184" s="9" t="s">
        <v>18</v>
      </c>
      <c r="G184" s="21">
        <v>55788.61</v>
      </c>
      <c r="H184" s="21">
        <v>2312</v>
      </c>
      <c r="I184" s="21">
        <v>5.8000000000000003E-2</v>
      </c>
      <c r="J184" s="21">
        <v>10</v>
      </c>
      <c r="K184" s="21">
        <v>91.3</v>
      </c>
      <c r="L184" s="21">
        <v>1.99</v>
      </c>
      <c r="M184" s="21">
        <v>0</v>
      </c>
      <c r="N184" s="21">
        <v>3.8</v>
      </c>
      <c r="O184" s="21">
        <v>550962.93000000005</v>
      </c>
      <c r="P184" s="21">
        <v>97144.58</v>
      </c>
    </row>
    <row r="185" spans="1:16">
      <c r="A185" s="9" t="s">
        <v>69</v>
      </c>
      <c r="B185" s="9">
        <f t="shared" si="4"/>
        <v>2025</v>
      </c>
      <c r="C185" s="9">
        <f t="shared" si="5"/>
        <v>3</v>
      </c>
      <c r="D185" s="10">
        <v>45717</v>
      </c>
      <c r="E185" s="9" t="s">
        <v>15</v>
      </c>
      <c r="F185" s="9" t="s">
        <v>18</v>
      </c>
      <c r="G185" s="21">
        <v>37705.879999999997</v>
      </c>
      <c r="H185" s="21">
        <v>1268</v>
      </c>
      <c r="I185" s="21">
        <v>0.25900000000000001</v>
      </c>
      <c r="J185" s="21">
        <v>9</v>
      </c>
      <c r="K185" s="21">
        <v>84.1</v>
      </c>
      <c r="L185" s="21">
        <v>4.7699999999999996</v>
      </c>
      <c r="M185" s="21">
        <v>0</v>
      </c>
      <c r="N185" s="21">
        <v>3.8</v>
      </c>
      <c r="O185" s="21">
        <v>443275.59</v>
      </c>
      <c r="P185" s="21">
        <v>53544.36</v>
      </c>
    </row>
    <row r="186" spans="1:16">
      <c r="A186" s="9" t="s">
        <v>69</v>
      </c>
      <c r="B186" s="9">
        <f t="shared" si="4"/>
        <v>2025</v>
      </c>
      <c r="C186" s="9">
        <f t="shared" si="5"/>
        <v>4</v>
      </c>
      <c r="D186" s="10">
        <v>45748</v>
      </c>
      <c r="E186" s="9" t="s">
        <v>15</v>
      </c>
      <c r="F186" s="9" t="s">
        <v>18</v>
      </c>
      <c r="G186" s="21">
        <v>54966.18</v>
      </c>
      <c r="H186" s="21">
        <v>4423</v>
      </c>
      <c r="I186" s="21">
        <v>0.186</v>
      </c>
      <c r="J186" s="21">
        <v>13</v>
      </c>
      <c r="K186" s="21">
        <v>88.7</v>
      </c>
      <c r="L186" s="21">
        <v>0.2</v>
      </c>
      <c r="M186" s="21">
        <v>0</v>
      </c>
      <c r="N186" s="21">
        <v>4.4000000000000004</v>
      </c>
      <c r="O186" s="21">
        <v>554012.06999999995</v>
      </c>
      <c r="P186" s="21">
        <v>81101.62</v>
      </c>
    </row>
    <row r="187" spans="1:16">
      <c r="A187" s="9" t="s">
        <v>70</v>
      </c>
      <c r="B187" s="9">
        <f t="shared" si="4"/>
        <v>2025</v>
      </c>
      <c r="C187" s="9">
        <f t="shared" si="5"/>
        <v>1</v>
      </c>
      <c r="D187" s="10">
        <v>45658</v>
      </c>
      <c r="E187" s="9" t="s">
        <v>27</v>
      </c>
      <c r="F187" s="9" t="s">
        <v>16</v>
      </c>
      <c r="G187" s="21">
        <v>81796.740000000005</v>
      </c>
      <c r="H187" s="21">
        <v>6177</v>
      </c>
      <c r="I187" s="21">
        <v>0.16400000000000001</v>
      </c>
      <c r="J187" s="21">
        <v>14</v>
      </c>
      <c r="K187" s="21">
        <v>87.9</v>
      </c>
      <c r="L187" s="21">
        <v>0.53</v>
      </c>
      <c r="M187" s="21">
        <v>0</v>
      </c>
      <c r="N187" s="21">
        <v>3.2</v>
      </c>
      <c r="O187" s="21">
        <v>643428.85</v>
      </c>
      <c r="P187" s="21">
        <v>94477.63</v>
      </c>
    </row>
    <row r="188" spans="1:16">
      <c r="A188" s="9" t="s">
        <v>70</v>
      </c>
      <c r="B188" s="9">
        <f t="shared" ref="B188:B247" si="6">YEAR(D188)</f>
        <v>2025</v>
      </c>
      <c r="C188" s="9">
        <f t="shared" ref="C188:C247" si="7">MONTH(D188)</f>
        <v>2</v>
      </c>
      <c r="D188" s="10">
        <v>45689</v>
      </c>
      <c r="E188" s="9" t="s">
        <v>27</v>
      </c>
      <c r="F188" s="9" t="s">
        <v>16</v>
      </c>
      <c r="G188" s="21">
        <v>51133.43</v>
      </c>
      <c r="H188" s="21">
        <v>5150</v>
      </c>
      <c r="I188" s="21">
        <v>0.15</v>
      </c>
      <c r="J188" s="21">
        <v>12</v>
      </c>
      <c r="K188" s="21">
        <v>88.5</v>
      </c>
      <c r="L188" s="21">
        <v>1.54</v>
      </c>
      <c r="M188" s="21">
        <v>0</v>
      </c>
      <c r="N188" s="21">
        <v>3.2</v>
      </c>
      <c r="O188" s="21">
        <v>611924.27</v>
      </c>
      <c r="P188" s="21">
        <v>115488.75</v>
      </c>
    </row>
    <row r="189" spans="1:16">
      <c r="A189" s="9" t="s">
        <v>70</v>
      </c>
      <c r="B189" s="9">
        <f t="shared" si="6"/>
        <v>2025</v>
      </c>
      <c r="C189" s="9">
        <f t="shared" si="7"/>
        <v>3</v>
      </c>
      <c r="D189" s="10">
        <v>45717</v>
      </c>
      <c r="E189" s="9" t="s">
        <v>27</v>
      </c>
      <c r="F189" s="9" t="s">
        <v>16</v>
      </c>
      <c r="G189" s="21">
        <v>40220.18</v>
      </c>
      <c r="H189" s="21">
        <v>3783</v>
      </c>
      <c r="I189" s="21">
        <v>8.8999999999999996E-2</v>
      </c>
      <c r="J189" s="21">
        <v>14</v>
      </c>
      <c r="K189" s="21">
        <v>86.6</v>
      </c>
      <c r="L189" s="21">
        <v>3.63</v>
      </c>
      <c r="M189" s="21">
        <v>0</v>
      </c>
      <c r="N189" s="21">
        <v>3.7</v>
      </c>
      <c r="O189" s="21">
        <v>559422.02</v>
      </c>
      <c r="P189" s="21">
        <v>73528.740000000005</v>
      </c>
    </row>
    <row r="190" spans="1:16">
      <c r="A190" s="9" t="s">
        <v>71</v>
      </c>
      <c r="B190" s="9">
        <f t="shared" si="6"/>
        <v>2025</v>
      </c>
      <c r="C190" s="9">
        <f t="shared" si="7"/>
        <v>1</v>
      </c>
      <c r="D190" s="10">
        <v>45658</v>
      </c>
      <c r="E190" s="9" t="s">
        <v>20</v>
      </c>
      <c r="F190" s="9" t="s">
        <v>16</v>
      </c>
      <c r="G190" s="21">
        <v>71851.45</v>
      </c>
      <c r="H190" s="21">
        <v>4970</v>
      </c>
      <c r="I190" s="21">
        <v>9.8000000000000004E-2</v>
      </c>
      <c r="J190" s="21">
        <v>11</v>
      </c>
      <c r="K190" s="21">
        <v>89.6</v>
      </c>
      <c r="L190" s="21">
        <v>0.2</v>
      </c>
      <c r="M190" s="21">
        <v>0</v>
      </c>
      <c r="N190" s="21">
        <v>4.2</v>
      </c>
      <c r="O190" s="21">
        <v>691447.43</v>
      </c>
      <c r="P190" s="21">
        <v>114077.69</v>
      </c>
    </row>
    <row r="191" spans="1:16">
      <c r="A191" s="9" t="s">
        <v>71</v>
      </c>
      <c r="B191" s="9">
        <f t="shared" si="6"/>
        <v>2025</v>
      </c>
      <c r="C191" s="9">
        <f t="shared" si="7"/>
        <v>2</v>
      </c>
      <c r="D191" s="10">
        <v>45689</v>
      </c>
      <c r="E191" s="9" t="s">
        <v>20</v>
      </c>
      <c r="F191" s="9" t="s">
        <v>16</v>
      </c>
      <c r="G191" s="21">
        <v>54002.83</v>
      </c>
      <c r="H191" s="21">
        <v>4366</v>
      </c>
      <c r="I191" s="21">
        <v>2.7E-2</v>
      </c>
      <c r="J191" s="21">
        <v>15</v>
      </c>
      <c r="K191" s="21">
        <v>90.6</v>
      </c>
      <c r="L191" s="21">
        <v>12.82</v>
      </c>
      <c r="M191" s="21">
        <v>0</v>
      </c>
      <c r="N191" s="21">
        <v>4.5999999999999996</v>
      </c>
      <c r="O191" s="21">
        <v>574066.61</v>
      </c>
      <c r="P191" s="21">
        <v>124674.67</v>
      </c>
    </row>
    <row r="192" spans="1:16">
      <c r="A192" s="9" t="s">
        <v>71</v>
      </c>
      <c r="B192" s="9">
        <f t="shared" si="6"/>
        <v>2025</v>
      </c>
      <c r="C192" s="9">
        <f t="shared" si="7"/>
        <v>3</v>
      </c>
      <c r="D192" s="10">
        <v>45717</v>
      </c>
      <c r="E192" s="9" t="s">
        <v>20</v>
      </c>
      <c r="F192" s="9" t="s">
        <v>16</v>
      </c>
      <c r="G192" s="21">
        <v>54479.33</v>
      </c>
      <c r="H192" s="21">
        <v>5012</v>
      </c>
      <c r="I192" s="21">
        <v>0.28399999999999997</v>
      </c>
      <c r="J192" s="21">
        <v>13</v>
      </c>
      <c r="K192" s="21">
        <v>86</v>
      </c>
      <c r="L192" s="21">
        <v>2.2400000000000002</v>
      </c>
      <c r="M192" s="21">
        <v>1</v>
      </c>
      <c r="N192" s="21">
        <v>4.3</v>
      </c>
      <c r="O192" s="21">
        <v>578949.84</v>
      </c>
      <c r="P192" s="21">
        <v>80253.649999999994</v>
      </c>
    </row>
    <row r="193" spans="1:16">
      <c r="A193" s="9" t="s">
        <v>71</v>
      </c>
      <c r="B193" s="9">
        <f t="shared" si="6"/>
        <v>2025</v>
      </c>
      <c r="C193" s="9">
        <f t="shared" si="7"/>
        <v>4</v>
      </c>
      <c r="D193" s="10">
        <v>45748</v>
      </c>
      <c r="E193" s="9" t="s">
        <v>20</v>
      </c>
      <c r="F193" s="9" t="s">
        <v>16</v>
      </c>
      <c r="G193" s="21">
        <v>61391.8</v>
      </c>
      <c r="H193" s="21">
        <v>5575</v>
      </c>
      <c r="I193" s="21">
        <v>0.189</v>
      </c>
      <c r="J193" s="21">
        <v>18</v>
      </c>
      <c r="K193" s="21">
        <v>90</v>
      </c>
      <c r="L193" s="21">
        <v>1.8</v>
      </c>
      <c r="M193" s="21">
        <v>0</v>
      </c>
      <c r="N193" s="21">
        <v>4.8</v>
      </c>
      <c r="O193" s="21">
        <v>735786.64</v>
      </c>
      <c r="P193" s="21">
        <v>126540.66</v>
      </c>
    </row>
    <row r="194" spans="1:16">
      <c r="A194" s="9" t="s">
        <v>72</v>
      </c>
      <c r="B194" s="9">
        <f t="shared" si="6"/>
        <v>2025</v>
      </c>
      <c r="C194" s="9">
        <f t="shared" si="7"/>
        <v>1</v>
      </c>
      <c r="D194" s="10">
        <v>45658</v>
      </c>
      <c r="E194" s="9" t="s">
        <v>15</v>
      </c>
      <c r="F194" s="9" t="s">
        <v>21</v>
      </c>
      <c r="G194" s="21">
        <v>22312.93</v>
      </c>
      <c r="H194" s="21">
        <v>5955</v>
      </c>
      <c r="I194" s="21">
        <v>0.123</v>
      </c>
      <c r="J194" s="21">
        <v>13</v>
      </c>
      <c r="K194" s="21">
        <v>84.2</v>
      </c>
      <c r="L194" s="21">
        <v>0.41</v>
      </c>
      <c r="M194" s="21">
        <v>1</v>
      </c>
      <c r="N194" s="21">
        <v>4.5999999999999996</v>
      </c>
      <c r="O194" s="21">
        <v>598904.9</v>
      </c>
      <c r="P194" s="21">
        <v>72861</v>
      </c>
    </row>
    <row r="195" spans="1:16">
      <c r="A195" s="9" t="s">
        <v>72</v>
      </c>
      <c r="B195" s="9">
        <f t="shared" si="6"/>
        <v>2025</v>
      </c>
      <c r="C195" s="9">
        <f t="shared" si="7"/>
        <v>2</v>
      </c>
      <c r="D195" s="10">
        <v>45689</v>
      </c>
      <c r="E195" s="9" t="s">
        <v>15</v>
      </c>
      <c r="F195" s="9" t="s">
        <v>21</v>
      </c>
      <c r="G195" s="21">
        <v>78111.97</v>
      </c>
      <c r="H195" s="21">
        <v>6389</v>
      </c>
      <c r="I195" s="21">
        <v>0.15</v>
      </c>
      <c r="J195" s="21">
        <v>13</v>
      </c>
      <c r="K195" s="21">
        <v>83.9</v>
      </c>
      <c r="L195" s="21">
        <v>3.05</v>
      </c>
      <c r="M195" s="21">
        <v>0</v>
      </c>
      <c r="N195" s="21">
        <v>4.8</v>
      </c>
      <c r="O195" s="21">
        <v>787715.51</v>
      </c>
      <c r="P195" s="21">
        <v>128969.62</v>
      </c>
    </row>
    <row r="196" spans="1:16">
      <c r="A196" s="9" t="s">
        <v>72</v>
      </c>
      <c r="B196" s="9">
        <f t="shared" si="6"/>
        <v>2025</v>
      </c>
      <c r="C196" s="9">
        <f t="shared" si="7"/>
        <v>3</v>
      </c>
      <c r="D196" s="10">
        <v>45717</v>
      </c>
      <c r="E196" s="9" t="s">
        <v>15</v>
      </c>
      <c r="F196" s="9" t="s">
        <v>21</v>
      </c>
      <c r="G196" s="21">
        <v>35203.230000000003</v>
      </c>
      <c r="H196" s="21">
        <v>6896</v>
      </c>
      <c r="I196" s="21">
        <v>3.2000000000000001E-2</v>
      </c>
      <c r="J196" s="21">
        <v>14</v>
      </c>
      <c r="K196" s="21">
        <v>80.8</v>
      </c>
      <c r="L196" s="21">
        <v>8.44</v>
      </c>
      <c r="M196" s="21">
        <v>1</v>
      </c>
      <c r="N196" s="21">
        <v>5</v>
      </c>
      <c r="O196" s="21">
        <v>607084.92000000004</v>
      </c>
      <c r="P196" s="21">
        <v>98558.49</v>
      </c>
    </row>
    <row r="197" spans="1:16">
      <c r="A197" s="9" t="s">
        <v>72</v>
      </c>
      <c r="B197" s="9">
        <f t="shared" si="6"/>
        <v>2025</v>
      </c>
      <c r="C197" s="9">
        <f t="shared" si="7"/>
        <v>4</v>
      </c>
      <c r="D197" s="10">
        <v>45748</v>
      </c>
      <c r="E197" s="9" t="s">
        <v>15</v>
      </c>
      <c r="F197" s="9" t="s">
        <v>21</v>
      </c>
      <c r="G197" s="21">
        <v>64104.28</v>
      </c>
      <c r="H197" s="21">
        <v>6015</v>
      </c>
      <c r="I197" s="21">
        <v>0.127</v>
      </c>
      <c r="J197" s="21">
        <v>15</v>
      </c>
      <c r="K197" s="21">
        <v>88.7</v>
      </c>
      <c r="L197" s="21">
        <v>0.78</v>
      </c>
      <c r="M197" s="21">
        <v>0</v>
      </c>
      <c r="N197" s="21">
        <v>4</v>
      </c>
      <c r="O197" s="21">
        <v>650795.49</v>
      </c>
      <c r="P197" s="21">
        <v>103035.89</v>
      </c>
    </row>
    <row r="198" spans="1:16">
      <c r="A198" s="9" t="s">
        <v>73</v>
      </c>
      <c r="B198" s="9">
        <f t="shared" si="6"/>
        <v>2025</v>
      </c>
      <c r="C198" s="9">
        <f t="shared" si="7"/>
        <v>1</v>
      </c>
      <c r="D198" s="10">
        <v>45658</v>
      </c>
      <c r="E198" s="9" t="s">
        <v>15</v>
      </c>
      <c r="F198" s="9" t="s">
        <v>28</v>
      </c>
      <c r="G198" s="21">
        <v>92090.14</v>
      </c>
      <c r="H198" s="21">
        <v>9476</v>
      </c>
      <c r="I198" s="21">
        <v>7.0000000000000007E-2</v>
      </c>
      <c r="J198" s="21">
        <v>24</v>
      </c>
      <c r="K198" s="21">
        <v>94.3</v>
      </c>
      <c r="L198" s="21">
        <v>0.87</v>
      </c>
      <c r="M198" s="21">
        <v>0</v>
      </c>
      <c r="N198" s="21">
        <v>3.7</v>
      </c>
      <c r="O198" s="21">
        <v>825060.52</v>
      </c>
      <c r="P198" s="21">
        <v>143613.15</v>
      </c>
    </row>
    <row r="199" spans="1:16">
      <c r="A199" s="9" t="s">
        <v>73</v>
      </c>
      <c r="B199" s="9">
        <f t="shared" si="6"/>
        <v>2025</v>
      </c>
      <c r="C199" s="9">
        <f t="shared" si="7"/>
        <v>2</v>
      </c>
      <c r="D199" s="10">
        <v>45689</v>
      </c>
      <c r="E199" s="9" t="s">
        <v>15</v>
      </c>
      <c r="F199" s="9" t="s">
        <v>28</v>
      </c>
      <c r="G199" s="21">
        <v>54300.87</v>
      </c>
      <c r="H199" s="21">
        <v>7875</v>
      </c>
      <c r="I199" s="21">
        <v>0.107</v>
      </c>
      <c r="J199" s="21">
        <v>19</v>
      </c>
      <c r="K199" s="21">
        <v>94.1</v>
      </c>
      <c r="L199" s="21">
        <v>0.95</v>
      </c>
      <c r="M199" s="21">
        <v>0</v>
      </c>
      <c r="N199" s="21">
        <v>3.7</v>
      </c>
      <c r="O199" s="21">
        <v>795464.47</v>
      </c>
      <c r="P199" s="21">
        <v>161150.51999999999</v>
      </c>
    </row>
    <row r="200" spans="1:16">
      <c r="A200" s="9" t="s">
        <v>73</v>
      </c>
      <c r="B200" s="9">
        <f t="shared" si="6"/>
        <v>2025</v>
      </c>
      <c r="C200" s="9">
        <f t="shared" si="7"/>
        <v>3</v>
      </c>
      <c r="D200" s="10">
        <v>45717</v>
      </c>
      <c r="E200" s="9" t="s">
        <v>15</v>
      </c>
      <c r="F200" s="9" t="s">
        <v>28</v>
      </c>
      <c r="G200" s="21">
        <v>37983.35</v>
      </c>
      <c r="H200" s="21">
        <v>9283</v>
      </c>
      <c r="I200" s="21">
        <v>0.14899999999999999</v>
      </c>
      <c r="J200" s="21">
        <v>19</v>
      </c>
      <c r="K200" s="21">
        <v>83.2</v>
      </c>
      <c r="L200" s="21">
        <v>3.82</v>
      </c>
      <c r="M200" s="21">
        <v>0</v>
      </c>
      <c r="N200" s="21">
        <v>3.7</v>
      </c>
      <c r="O200" s="21">
        <v>671868.59</v>
      </c>
      <c r="P200" s="21">
        <v>71003.28</v>
      </c>
    </row>
    <row r="201" spans="1:16">
      <c r="A201" s="9" t="s">
        <v>73</v>
      </c>
      <c r="B201" s="9">
        <f t="shared" si="6"/>
        <v>2025</v>
      </c>
      <c r="C201" s="9">
        <f t="shared" si="7"/>
        <v>4</v>
      </c>
      <c r="D201" s="10">
        <v>45748</v>
      </c>
      <c r="E201" s="9" t="s">
        <v>15</v>
      </c>
      <c r="F201" s="9" t="s">
        <v>28</v>
      </c>
      <c r="G201" s="21">
        <v>56413.83</v>
      </c>
      <c r="H201" s="21">
        <v>8303</v>
      </c>
      <c r="I201" s="21">
        <v>0.11600000000000001</v>
      </c>
      <c r="J201" s="21">
        <v>18</v>
      </c>
      <c r="K201" s="21">
        <v>93.6</v>
      </c>
      <c r="L201" s="21">
        <v>2.7</v>
      </c>
      <c r="M201" s="21">
        <v>0</v>
      </c>
      <c r="N201" s="21">
        <v>3.7</v>
      </c>
      <c r="O201" s="21">
        <v>675917.63</v>
      </c>
      <c r="P201" s="21">
        <v>112564.75</v>
      </c>
    </row>
    <row r="202" spans="1:16">
      <c r="A202" s="9" t="s">
        <v>74</v>
      </c>
      <c r="B202" s="9">
        <f t="shared" si="6"/>
        <v>2025</v>
      </c>
      <c r="C202" s="9">
        <f t="shared" si="7"/>
        <v>1</v>
      </c>
      <c r="D202" s="10">
        <v>45658</v>
      </c>
      <c r="E202" s="9" t="s">
        <v>15</v>
      </c>
      <c r="F202" s="9" t="s">
        <v>18</v>
      </c>
      <c r="G202" s="21">
        <v>63457.19</v>
      </c>
      <c r="H202" s="21">
        <v>10125</v>
      </c>
      <c r="I202" s="21">
        <v>9.7000000000000003E-2</v>
      </c>
      <c r="J202" s="21">
        <v>24</v>
      </c>
      <c r="K202" s="21">
        <v>87</v>
      </c>
      <c r="L202" s="21">
        <v>3.84</v>
      </c>
      <c r="M202" s="21">
        <v>1</v>
      </c>
      <c r="N202" s="21">
        <v>3.7</v>
      </c>
      <c r="O202" s="21">
        <v>810446.53</v>
      </c>
      <c r="P202" s="21">
        <v>200575.34</v>
      </c>
    </row>
    <row r="203" spans="1:16">
      <c r="A203" s="9" t="s">
        <v>74</v>
      </c>
      <c r="B203" s="9">
        <f t="shared" si="6"/>
        <v>2025</v>
      </c>
      <c r="C203" s="9">
        <f t="shared" si="7"/>
        <v>2</v>
      </c>
      <c r="D203" s="10">
        <v>45689</v>
      </c>
      <c r="E203" s="9" t="s">
        <v>15</v>
      </c>
      <c r="F203" s="9" t="s">
        <v>18</v>
      </c>
      <c r="G203" s="21">
        <v>62949.7</v>
      </c>
      <c r="H203" s="21">
        <v>9458</v>
      </c>
      <c r="I203" s="21">
        <v>0.17100000000000001</v>
      </c>
      <c r="J203" s="21">
        <v>19</v>
      </c>
      <c r="K203" s="21">
        <v>84.9</v>
      </c>
      <c r="L203" s="21">
        <v>5.09</v>
      </c>
      <c r="M203" s="21">
        <v>0</v>
      </c>
      <c r="N203" s="21">
        <v>3.3</v>
      </c>
      <c r="O203" s="21">
        <v>691288.19</v>
      </c>
      <c r="P203" s="21">
        <v>159074.14000000001</v>
      </c>
    </row>
    <row r="204" spans="1:16">
      <c r="A204" s="9" t="s">
        <v>74</v>
      </c>
      <c r="B204" s="9">
        <f t="shared" si="6"/>
        <v>2025</v>
      </c>
      <c r="C204" s="9">
        <f t="shared" si="7"/>
        <v>3</v>
      </c>
      <c r="D204" s="10">
        <v>45717</v>
      </c>
      <c r="E204" s="9" t="s">
        <v>15</v>
      </c>
      <c r="F204" s="9" t="s">
        <v>18</v>
      </c>
      <c r="G204" s="21">
        <v>107970.19</v>
      </c>
      <c r="H204" s="21">
        <v>12870</v>
      </c>
      <c r="I204" s="21">
        <v>2.9000000000000001E-2</v>
      </c>
      <c r="J204" s="21">
        <v>31</v>
      </c>
      <c r="K204" s="21">
        <v>91.7</v>
      </c>
      <c r="L204" s="21">
        <v>3.82</v>
      </c>
      <c r="M204" s="21">
        <v>1</v>
      </c>
      <c r="N204" s="21">
        <v>3.7</v>
      </c>
      <c r="O204" s="21">
        <v>946833.54</v>
      </c>
      <c r="P204" s="21">
        <v>184540.31</v>
      </c>
    </row>
    <row r="205" spans="1:16">
      <c r="A205" s="9" t="s">
        <v>74</v>
      </c>
      <c r="B205" s="9">
        <f t="shared" si="6"/>
        <v>2025</v>
      </c>
      <c r="C205" s="9">
        <f t="shared" si="7"/>
        <v>4</v>
      </c>
      <c r="D205" s="10">
        <v>45748</v>
      </c>
      <c r="E205" s="9" t="s">
        <v>15</v>
      </c>
      <c r="F205" s="9" t="s">
        <v>18</v>
      </c>
      <c r="G205" s="21">
        <v>49405.75</v>
      </c>
      <c r="H205" s="21">
        <v>9752</v>
      </c>
      <c r="I205" s="21">
        <v>9.2999999999999999E-2</v>
      </c>
      <c r="J205" s="21">
        <v>21</v>
      </c>
      <c r="K205" s="21">
        <v>87</v>
      </c>
      <c r="L205" s="21">
        <v>12.28</v>
      </c>
      <c r="M205" s="21">
        <v>0</v>
      </c>
      <c r="N205" s="21">
        <v>4.0999999999999996</v>
      </c>
      <c r="O205" s="21">
        <v>761963.23</v>
      </c>
      <c r="P205" s="21">
        <v>150113.60999999999</v>
      </c>
    </row>
    <row r="206" spans="1:16">
      <c r="A206" s="9" t="s">
        <v>75</v>
      </c>
      <c r="B206" s="9">
        <f t="shared" si="6"/>
        <v>2025</v>
      </c>
      <c r="C206" s="9">
        <f t="shared" si="7"/>
        <v>1</v>
      </c>
      <c r="D206" s="10">
        <v>45658</v>
      </c>
      <c r="E206" s="9" t="s">
        <v>27</v>
      </c>
      <c r="F206" s="9" t="s">
        <v>16</v>
      </c>
      <c r="G206" s="21">
        <v>50887.46</v>
      </c>
      <c r="H206" s="21">
        <v>9505</v>
      </c>
      <c r="I206" s="21">
        <v>9.0999999999999998E-2</v>
      </c>
      <c r="J206" s="21">
        <v>25</v>
      </c>
      <c r="K206" s="21">
        <v>89.7</v>
      </c>
      <c r="L206" s="21">
        <v>2.8</v>
      </c>
      <c r="M206" s="21">
        <v>0</v>
      </c>
      <c r="N206" s="21">
        <v>4.3</v>
      </c>
      <c r="O206" s="21">
        <v>812152.6</v>
      </c>
      <c r="P206" s="21">
        <v>138419.43</v>
      </c>
    </row>
    <row r="207" spans="1:16">
      <c r="A207" s="9" t="s">
        <v>75</v>
      </c>
      <c r="B207" s="9">
        <f t="shared" si="6"/>
        <v>2025</v>
      </c>
      <c r="C207" s="9">
        <f t="shared" si="7"/>
        <v>2</v>
      </c>
      <c r="D207" s="10">
        <v>45689</v>
      </c>
      <c r="E207" s="9" t="s">
        <v>27</v>
      </c>
      <c r="F207" s="9" t="s">
        <v>16</v>
      </c>
      <c r="G207" s="21">
        <v>41819.449999999997</v>
      </c>
      <c r="H207" s="21">
        <v>9412</v>
      </c>
      <c r="I207" s="21">
        <v>0.15</v>
      </c>
      <c r="J207" s="21">
        <v>22</v>
      </c>
      <c r="K207" s="21">
        <v>91</v>
      </c>
      <c r="L207" s="21">
        <v>3.67</v>
      </c>
      <c r="M207" s="21">
        <v>0</v>
      </c>
      <c r="N207" s="21">
        <v>4.2</v>
      </c>
      <c r="O207" s="21">
        <v>804975.5</v>
      </c>
      <c r="P207" s="21">
        <v>140054.5</v>
      </c>
    </row>
    <row r="208" spans="1:16">
      <c r="A208" s="9" t="s">
        <v>75</v>
      </c>
      <c r="B208" s="9">
        <f t="shared" si="6"/>
        <v>2025</v>
      </c>
      <c r="C208" s="9">
        <f t="shared" si="7"/>
        <v>3</v>
      </c>
      <c r="D208" s="10">
        <v>45717</v>
      </c>
      <c r="E208" s="9" t="s">
        <v>27</v>
      </c>
      <c r="F208" s="9" t="s">
        <v>16</v>
      </c>
      <c r="G208" s="21">
        <v>35296.54</v>
      </c>
      <c r="H208" s="21">
        <v>9644</v>
      </c>
      <c r="I208" s="21">
        <v>0</v>
      </c>
      <c r="J208" s="21">
        <v>22</v>
      </c>
      <c r="K208" s="21">
        <v>88</v>
      </c>
      <c r="L208" s="21">
        <v>2.81</v>
      </c>
      <c r="M208" s="21">
        <v>0</v>
      </c>
      <c r="N208" s="21">
        <v>4.7</v>
      </c>
      <c r="O208" s="21">
        <v>752321.72</v>
      </c>
      <c r="P208" s="21">
        <v>137788.51</v>
      </c>
    </row>
    <row r="209" spans="1:16">
      <c r="A209" s="9" t="s">
        <v>75</v>
      </c>
      <c r="B209" s="9">
        <f t="shared" si="6"/>
        <v>2025</v>
      </c>
      <c r="C209" s="9">
        <f t="shared" si="7"/>
        <v>4</v>
      </c>
      <c r="D209" s="10">
        <v>45748</v>
      </c>
      <c r="E209" s="9" t="s">
        <v>27</v>
      </c>
      <c r="F209" s="9" t="s">
        <v>16</v>
      </c>
      <c r="G209" s="21">
        <v>47391.09</v>
      </c>
      <c r="H209" s="21">
        <v>11224</v>
      </c>
      <c r="I209" s="21">
        <v>0.14699999999999999</v>
      </c>
      <c r="J209" s="21">
        <v>25</v>
      </c>
      <c r="K209" s="21">
        <v>88.4</v>
      </c>
      <c r="L209" s="21">
        <v>2.44</v>
      </c>
      <c r="M209" s="21">
        <v>0</v>
      </c>
      <c r="N209" s="21">
        <v>4.9000000000000004</v>
      </c>
      <c r="O209" s="21">
        <v>836908.24</v>
      </c>
      <c r="P209" s="21">
        <v>141090.26</v>
      </c>
    </row>
    <row r="210" spans="1:16">
      <c r="A210" s="9" t="s">
        <v>76</v>
      </c>
      <c r="B210" s="9">
        <f t="shared" si="6"/>
        <v>2025</v>
      </c>
      <c r="C210" s="9">
        <f t="shared" si="7"/>
        <v>1</v>
      </c>
      <c r="D210" s="10">
        <v>45658</v>
      </c>
      <c r="E210" s="9" t="s">
        <v>20</v>
      </c>
      <c r="F210" s="9" t="s">
        <v>21</v>
      </c>
      <c r="G210" s="21">
        <v>69180.539999999994</v>
      </c>
      <c r="H210" s="21">
        <v>5394</v>
      </c>
      <c r="I210" s="21">
        <v>0.126</v>
      </c>
      <c r="J210" s="21">
        <v>12</v>
      </c>
      <c r="K210" s="21">
        <v>82.9</v>
      </c>
      <c r="L210" s="21">
        <v>3.27</v>
      </c>
      <c r="M210" s="21">
        <v>0</v>
      </c>
      <c r="N210" s="21">
        <v>3.3</v>
      </c>
      <c r="O210" s="21">
        <v>674289.1</v>
      </c>
      <c r="P210" s="21">
        <v>117773.79</v>
      </c>
    </row>
    <row r="211" spans="1:16">
      <c r="A211" s="9" t="s">
        <v>76</v>
      </c>
      <c r="B211" s="9">
        <f t="shared" si="6"/>
        <v>2025</v>
      </c>
      <c r="C211" s="9">
        <f t="shared" si="7"/>
        <v>2</v>
      </c>
      <c r="D211" s="10">
        <v>45689</v>
      </c>
      <c r="E211" s="9" t="s">
        <v>20</v>
      </c>
      <c r="F211" s="9" t="s">
        <v>21</v>
      </c>
      <c r="G211" s="21">
        <v>33987.33</v>
      </c>
      <c r="H211" s="21">
        <v>5014</v>
      </c>
      <c r="I211" s="21">
        <v>0.246</v>
      </c>
      <c r="J211" s="21">
        <v>17</v>
      </c>
      <c r="K211" s="21">
        <v>94.3</v>
      </c>
      <c r="L211" s="21">
        <v>10.34</v>
      </c>
      <c r="M211" s="21">
        <v>0</v>
      </c>
      <c r="N211" s="21">
        <v>3.9</v>
      </c>
      <c r="O211" s="21">
        <v>622892.42000000004</v>
      </c>
      <c r="P211" s="21">
        <v>101032.52</v>
      </c>
    </row>
    <row r="212" spans="1:16">
      <c r="A212" s="9" t="s">
        <v>76</v>
      </c>
      <c r="B212" s="9">
        <f t="shared" si="6"/>
        <v>2025</v>
      </c>
      <c r="C212" s="9">
        <f t="shared" si="7"/>
        <v>3</v>
      </c>
      <c r="D212" s="10">
        <v>45717</v>
      </c>
      <c r="E212" s="9" t="s">
        <v>20</v>
      </c>
      <c r="F212" s="9" t="s">
        <v>21</v>
      </c>
      <c r="G212" s="21">
        <v>58785.33</v>
      </c>
      <c r="H212" s="21">
        <v>4467</v>
      </c>
      <c r="I212" s="21">
        <v>0.22900000000000001</v>
      </c>
      <c r="J212" s="21">
        <v>14</v>
      </c>
      <c r="K212" s="21">
        <v>90.7</v>
      </c>
      <c r="L212" s="21">
        <v>1.92</v>
      </c>
      <c r="M212" s="21">
        <v>0</v>
      </c>
      <c r="N212" s="21">
        <v>3.7</v>
      </c>
      <c r="O212" s="21">
        <v>673348.56</v>
      </c>
      <c r="P212" s="21">
        <v>69464.59</v>
      </c>
    </row>
    <row r="213" spans="1:16">
      <c r="A213" s="9" t="s">
        <v>76</v>
      </c>
      <c r="B213" s="9">
        <f t="shared" si="6"/>
        <v>2025</v>
      </c>
      <c r="C213" s="9">
        <f t="shared" si="7"/>
        <v>4</v>
      </c>
      <c r="D213" s="10">
        <v>45748</v>
      </c>
      <c r="E213" s="9" t="s">
        <v>20</v>
      </c>
      <c r="F213" s="9" t="s">
        <v>21</v>
      </c>
      <c r="G213" s="21">
        <v>16451.849999999999</v>
      </c>
      <c r="H213" s="21">
        <v>4678</v>
      </c>
      <c r="I213" s="21">
        <v>0.13300000000000001</v>
      </c>
      <c r="J213" s="21">
        <v>11</v>
      </c>
      <c r="K213" s="21">
        <v>95.9</v>
      </c>
      <c r="L213" s="21">
        <v>3.1</v>
      </c>
      <c r="M213" s="21">
        <v>0</v>
      </c>
      <c r="N213" s="21">
        <v>3.9</v>
      </c>
      <c r="O213" s="21">
        <v>606278.30000000005</v>
      </c>
      <c r="P213" s="21">
        <v>102213.26</v>
      </c>
    </row>
    <row r="214" spans="1:16">
      <c r="A214" s="9" t="s">
        <v>77</v>
      </c>
      <c r="B214" s="9">
        <f t="shared" si="6"/>
        <v>2025</v>
      </c>
      <c r="C214" s="9">
        <f t="shared" si="7"/>
        <v>1</v>
      </c>
      <c r="D214" s="10">
        <v>45658</v>
      </c>
      <c r="E214" s="9" t="s">
        <v>15</v>
      </c>
      <c r="F214" s="9" t="s">
        <v>18</v>
      </c>
      <c r="G214" s="21">
        <v>53367.73</v>
      </c>
      <c r="H214" s="21">
        <v>7291</v>
      </c>
      <c r="I214" s="21">
        <v>0.14599999999999999</v>
      </c>
      <c r="J214" s="21">
        <v>18</v>
      </c>
      <c r="K214" s="21">
        <v>90.6</v>
      </c>
      <c r="L214" s="21">
        <v>6.34</v>
      </c>
      <c r="M214" s="21">
        <v>1</v>
      </c>
      <c r="N214" s="21">
        <v>3.8</v>
      </c>
      <c r="O214" s="21">
        <v>712219.81</v>
      </c>
      <c r="P214" s="21">
        <v>85906.54</v>
      </c>
    </row>
    <row r="215" spans="1:16">
      <c r="A215" s="9" t="s">
        <v>77</v>
      </c>
      <c r="B215" s="9">
        <f t="shared" si="6"/>
        <v>2025</v>
      </c>
      <c r="C215" s="9">
        <f t="shared" si="7"/>
        <v>2</v>
      </c>
      <c r="D215" s="10">
        <v>45689</v>
      </c>
      <c r="E215" s="9" t="s">
        <v>15</v>
      </c>
      <c r="F215" s="9" t="s">
        <v>18</v>
      </c>
      <c r="G215" s="21">
        <v>27194.639999999999</v>
      </c>
      <c r="H215" s="21">
        <v>7404</v>
      </c>
      <c r="I215" s="21">
        <v>8.7999999999999995E-2</v>
      </c>
      <c r="J215" s="21">
        <v>18</v>
      </c>
      <c r="K215" s="21">
        <v>90.2</v>
      </c>
      <c r="L215" s="21">
        <v>1.2</v>
      </c>
      <c r="M215" s="21">
        <v>0</v>
      </c>
      <c r="N215" s="21">
        <v>3.4</v>
      </c>
      <c r="O215" s="21">
        <v>672670.54</v>
      </c>
      <c r="P215" s="21">
        <v>132684.18</v>
      </c>
    </row>
    <row r="216" spans="1:16">
      <c r="A216" s="9" t="s">
        <v>77</v>
      </c>
      <c r="B216" s="9">
        <f t="shared" si="6"/>
        <v>2025</v>
      </c>
      <c r="C216" s="9">
        <f t="shared" si="7"/>
        <v>3</v>
      </c>
      <c r="D216" s="10">
        <v>45717</v>
      </c>
      <c r="E216" s="9" t="s">
        <v>15</v>
      </c>
      <c r="F216" s="9" t="s">
        <v>18</v>
      </c>
      <c r="G216" s="21">
        <v>66962.740000000005</v>
      </c>
      <c r="H216" s="21">
        <v>7880</v>
      </c>
      <c r="I216" s="21">
        <v>0.11600000000000001</v>
      </c>
      <c r="J216" s="21">
        <v>19</v>
      </c>
      <c r="K216" s="21">
        <v>90.4</v>
      </c>
      <c r="L216" s="21">
        <v>4.5</v>
      </c>
      <c r="M216" s="21">
        <v>0</v>
      </c>
      <c r="N216" s="21">
        <v>3.3</v>
      </c>
      <c r="O216" s="21">
        <v>732667.92</v>
      </c>
      <c r="P216" s="21">
        <v>128654.46</v>
      </c>
    </row>
    <row r="217" spans="1:16">
      <c r="A217" s="9" t="s">
        <v>77</v>
      </c>
      <c r="B217" s="9">
        <f t="shared" si="6"/>
        <v>2025</v>
      </c>
      <c r="C217" s="9">
        <f t="shared" si="7"/>
        <v>4</v>
      </c>
      <c r="D217" s="10">
        <v>45748</v>
      </c>
      <c r="E217" s="9" t="s">
        <v>15</v>
      </c>
      <c r="F217" s="9" t="s">
        <v>18</v>
      </c>
      <c r="G217" s="21">
        <v>73540.990000000005</v>
      </c>
      <c r="H217" s="21">
        <v>8773</v>
      </c>
      <c r="I217" s="21">
        <v>3.5000000000000003E-2</v>
      </c>
      <c r="J217" s="21">
        <v>21</v>
      </c>
      <c r="K217" s="21">
        <v>84.4</v>
      </c>
      <c r="L217" s="21">
        <v>6.68</v>
      </c>
      <c r="M217" s="21">
        <v>0</v>
      </c>
      <c r="N217" s="21">
        <v>3.6</v>
      </c>
      <c r="O217" s="21">
        <v>723531.4</v>
      </c>
      <c r="P217" s="21">
        <v>108794.85</v>
      </c>
    </row>
    <row r="218" spans="1:16">
      <c r="A218" s="9" t="s">
        <v>78</v>
      </c>
      <c r="B218" s="9">
        <f t="shared" si="6"/>
        <v>2025</v>
      </c>
      <c r="C218" s="9">
        <f t="shared" si="7"/>
        <v>1</v>
      </c>
      <c r="D218" s="10">
        <v>45658</v>
      </c>
      <c r="E218" s="9" t="s">
        <v>15</v>
      </c>
      <c r="F218" s="9" t="s">
        <v>28</v>
      </c>
      <c r="G218" s="21">
        <v>68212.289999999994</v>
      </c>
      <c r="H218" s="21">
        <v>4713</v>
      </c>
      <c r="I218" s="21">
        <v>0.19800000000000001</v>
      </c>
      <c r="J218" s="21">
        <v>15</v>
      </c>
      <c r="K218" s="21">
        <v>82.6</v>
      </c>
      <c r="L218" s="21">
        <v>4.07</v>
      </c>
      <c r="M218" s="21">
        <v>1</v>
      </c>
      <c r="N218" s="21">
        <v>3</v>
      </c>
      <c r="O218" s="21">
        <v>641564.6</v>
      </c>
      <c r="P218" s="21">
        <v>90468.96</v>
      </c>
    </row>
    <row r="219" spans="1:16">
      <c r="A219" s="9" t="s">
        <v>78</v>
      </c>
      <c r="B219" s="9">
        <f t="shared" si="6"/>
        <v>2025</v>
      </c>
      <c r="C219" s="9">
        <f t="shared" si="7"/>
        <v>2</v>
      </c>
      <c r="D219" s="10">
        <v>45689</v>
      </c>
      <c r="E219" s="9" t="s">
        <v>15</v>
      </c>
      <c r="F219" s="9" t="s">
        <v>28</v>
      </c>
      <c r="G219" s="21">
        <v>57225.98</v>
      </c>
      <c r="H219" s="21">
        <v>2842</v>
      </c>
      <c r="I219" s="21">
        <v>0.112</v>
      </c>
      <c r="J219" s="21">
        <v>10</v>
      </c>
      <c r="K219" s="21">
        <v>79.5</v>
      </c>
      <c r="L219" s="21">
        <v>5.45</v>
      </c>
      <c r="M219" s="21">
        <v>0</v>
      </c>
      <c r="N219" s="21">
        <v>3.4</v>
      </c>
      <c r="O219" s="21">
        <v>536545.49</v>
      </c>
      <c r="P219" s="21">
        <v>97917.45</v>
      </c>
    </row>
    <row r="220" spans="1:16">
      <c r="A220" s="9" t="s">
        <v>78</v>
      </c>
      <c r="B220" s="9">
        <f t="shared" si="6"/>
        <v>2025</v>
      </c>
      <c r="C220" s="9">
        <f t="shared" si="7"/>
        <v>3</v>
      </c>
      <c r="D220" s="10">
        <v>45717</v>
      </c>
      <c r="E220" s="9" t="s">
        <v>15</v>
      </c>
      <c r="F220" s="9" t="s">
        <v>28</v>
      </c>
      <c r="G220" s="21">
        <v>42932.02</v>
      </c>
      <c r="H220" s="21">
        <v>3872</v>
      </c>
      <c r="I220" s="21">
        <v>0.17100000000000001</v>
      </c>
      <c r="J220" s="21">
        <v>12</v>
      </c>
      <c r="K220" s="21">
        <v>83.2</v>
      </c>
      <c r="L220" s="21">
        <v>15.58</v>
      </c>
      <c r="M220" s="21">
        <v>0</v>
      </c>
      <c r="N220" s="21">
        <v>3.3</v>
      </c>
      <c r="O220" s="21">
        <v>527681.56000000006</v>
      </c>
      <c r="P220" s="21">
        <v>63153.05</v>
      </c>
    </row>
    <row r="221" spans="1:16">
      <c r="A221" s="9" t="s">
        <v>79</v>
      </c>
      <c r="B221" s="9">
        <f t="shared" si="6"/>
        <v>2025</v>
      </c>
      <c r="C221" s="9">
        <f t="shared" si="7"/>
        <v>1</v>
      </c>
      <c r="D221" s="10">
        <v>45658</v>
      </c>
      <c r="E221" s="9" t="s">
        <v>15</v>
      </c>
      <c r="F221" s="9" t="s">
        <v>18</v>
      </c>
      <c r="G221" s="21">
        <v>37324.230000000003</v>
      </c>
      <c r="H221" s="21">
        <v>5957</v>
      </c>
      <c r="I221" s="21">
        <v>7.0999999999999994E-2</v>
      </c>
      <c r="J221" s="21">
        <v>12</v>
      </c>
      <c r="K221" s="21">
        <v>85.9</v>
      </c>
      <c r="L221" s="21">
        <v>0.37</v>
      </c>
      <c r="M221" s="21">
        <v>0</v>
      </c>
      <c r="N221" s="21">
        <v>3.8</v>
      </c>
      <c r="O221" s="21">
        <v>570963.31000000006</v>
      </c>
      <c r="P221" s="21">
        <v>87342.25</v>
      </c>
    </row>
    <row r="222" spans="1:16">
      <c r="A222" s="9" t="s">
        <v>79</v>
      </c>
      <c r="B222" s="9">
        <f t="shared" si="6"/>
        <v>2025</v>
      </c>
      <c r="C222" s="9">
        <f t="shared" si="7"/>
        <v>2</v>
      </c>
      <c r="D222" s="10">
        <v>45689</v>
      </c>
      <c r="E222" s="9" t="s">
        <v>15</v>
      </c>
      <c r="F222" s="9" t="s">
        <v>18</v>
      </c>
      <c r="G222" s="21">
        <v>113736</v>
      </c>
      <c r="H222" s="21">
        <v>8961</v>
      </c>
      <c r="I222" s="21">
        <v>0.20200000000000001</v>
      </c>
      <c r="J222" s="21">
        <v>24</v>
      </c>
      <c r="K222" s="21">
        <v>86.2</v>
      </c>
      <c r="L222" s="21">
        <v>21.63</v>
      </c>
      <c r="M222" s="21">
        <v>0</v>
      </c>
      <c r="N222" s="21">
        <v>4</v>
      </c>
      <c r="O222" s="21">
        <v>870937.4</v>
      </c>
      <c r="P222" s="21">
        <v>175282.74</v>
      </c>
    </row>
    <row r="223" spans="1:16">
      <c r="A223" s="9" t="s">
        <v>79</v>
      </c>
      <c r="B223" s="9">
        <f t="shared" si="6"/>
        <v>2025</v>
      </c>
      <c r="C223" s="9">
        <f t="shared" si="7"/>
        <v>3</v>
      </c>
      <c r="D223" s="10">
        <v>45717</v>
      </c>
      <c r="E223" s="9" t="s">
        <v>15</v>
      </c>
      <c r="F223" s="9" t="s">
        <v>18</v>
      </c>
      <c r="G223" s="21">
        <v>33173.949999999997</v>
      </c>
      <c r="H223" s="21">
        <v>6545</v>
      </c>
      <c r="I223" s="21">
        <v>0.16900000000000001</v>
      </c>
      <c r="J223" s="21">
        <v>15</v>
      </c>
      <c r="K223" s="21">
        <v>84.4</v>
      </c>
      <c r="L223" s="21">
        <v>2.48</v>
      </c>
      <c r="M223" s="21">
        <v>0</v>
      </c>
      <c r="N223" s="21">
        <v>3.9</v>
      </c>
      <c r="O223" s="21">
        <v>596969.27</v>
      </c>
      <c r="P223" s="21">
        <v>105669.51</v>
      </c>
    </row>
    <row r="224" spans="1:16">
      <c r="A224" s="9" t="s">
        <v>80</v>
      </c>
      <c r="B224" s="9">
        <f t="shared" si="6"/>
        <v>2025</v>
      </c>
      <c r="C224" s="9">
        <f t="shared" si="7"/>
        <v>1</v>
      </c>
      <c r="D224" s="10">
        <v>45658</v>
      </c>
      <c r="E224" s="9" t="s">
        <v>27</v>
      </c>
      <c r="F224" s="9" t="s">
        <v>16</v>
      </c>
      <c r="G224" s="21">
        <v>47241.919999999998</v>
      </c>
      <c r="H224" s="21">
        <v>4264</v>
      </c>
      <c r="I224" s="21">
        <v>6.9000000000000006E-2</v>
      </c>
      <c r="J224" s="21">
        <v>13</v>
      </c>
      <c r="K224" s="21">
        <v>95.3</v>
      </c>
      <c r="L224" s="21">
        <v>0.85</v>
      </c>
      <c r="M224" s="21">
        <v>0</v>
      </c>
      <c r="N224" s="21">
        <v>4.3</v>
      </c>
      <c r="O224" s="21">
        <v>658072.14</v>
      </c>
      <c r="P224" s="21">
        <v>110595.89</v>
      </c>
    </row>
    <row r="225" spans="1:16">
      <c r="A225" s="9" t="s">
        <v>80</v>
      </c>
      <c r="B225" s="9">
        <f t="shared" si="6"/>
        <v>2025</v>
      </c>
      <c r="C225" s="9">
        <f t="shared" si="7"/>
        <v>2</v>
      </c>
      <c r="D225" s="10">
        <v>45689</v>
      </c>
      <c r="E225" s="9" t="s">
        <v>27</v>
      </c>
      <c r="F225" s="9" t="s">
        <v>16</v>
      </c>
      <c r="G225" s="21">
        <v>61650.79</v>
      </c>
      <c r="H225" s="21">
        <v>5321</v>
      </c>
      <c r="I225" s="21">
        <v>0.126</v>
      </c>
      <c r="J225" s="21">
        <v>17</v>
      </c>
      <c r="K225" s="21">
        <v>89.2</v>
      </c>
      <c r="L225" s="21">
        <v>2.13</v>
      </c>
      <c r="M225" s="21">
        <v>0</v>
      </c>
      <c r="N225" s="21">
        <v>4</v>
      </c>
      <c r="O225" s="21">
        <v>723305.11</v>
      </c>
      <c r="P225" s="21">
        <v>128468.7</v>
      </c>
    </row>
    <row r="226" spans="1:16">
      <c r="A226" s="9" t="s">
        <v>80</v>
      </c>
      <c r="B226" s="9">
        <f t="shared" si="6"/>
        <v>2025</v>
      </c>
      <c r="C226" s="9">
        <f t="shared" si="7"/>
        <v>3</v>
      </c>
      <c r="D226" s="10">
        <v>45717</v>
      </c>
      <c r="E226" s="9" t="s">
        <v>27</v>
      </c>
      <c r="F226" s="9" t="s">
        <v>16</v>
      </c>
      <c r="G226" s="21">
        <v>62582.71</v>
      </c>
      <c r="H226" s="21">
        <v>5479</v>
      </c>
      <c r="I226" s="21">
        <v>4.8000000000000001E-2</v>
      </c>
      <c r="J226" s="21">
        <v>16</v>
      </c>
      <c r="K226" s="21">
        <v>81.2</v>
      </c>
      <c r="L226" s="21">
        <v>1.46</v>
      </c>
      <c r="M226" s="21">
        <v>0</v>
      </c>
      <c r="N226" s="21">
        <v>4.5</v>
      </c>
      <c r="O226" s="21">
        <v>640666.53</v>
      </c>
      <c r="P226" s="21">
        <v>134919.16</v>
      </c>
    </row>
    <row r="227" spans="1:16">
      <c r="A227" s="9" t="s">
        <v>80</v>
      </c>
      <c r="B227" s="9">
        <f t="shared" si="6"/>
        <v>2025</v>
      </c>
      <c r="C227" s="9">
        <f t="shared" si="7"/>
        <v>4</v>
      </c>
      <c r="D227" s="10">
        <v>45748</v>
      </c>
      <c r="E227" s="9" t="s">
        <v>27</v>
      </c>
      <c r="F227" s="9" t="s">
        <v>16</v>
      </c>
      <c r="G227" s="21">
        <v>47944.14</v>
      </c>
      <c r="H227" s="21">
        <v>6169</v>
      </c>
      <c r="I227" s="21">
        <v>0.11899999999999999</v>
      </c>
      <c r="J227" s="21">
        <v>17</v>
      </c>
      <c r="K227" s="21">
        <v>92.2</v>
      </c>
      <c r="L227" s="21">
        <v>3.02</v>
      </c>
      <c r="M227" s="21">
        <v>0</v>
      </c>
      <c r="N227" s="21">
        <v>4.0999999999999996</v>
      </c>
      <c r="O227" s="21">
        <v>670629.48</v>
      </c>
      <c r="P227" s="21">
        <v>100140.8</v>
      </c>
    </row>
    <row r="228" spans="1:16">
      <c r="A228" s="9" t="s">
        <v>81</v>
      </c>
      <c r="B228" s="9">
        <f t="shared" si="6"/>
        <v>2025</v>
      </c>
      <c r="C228" s="9">
        <f t="shared" si="7"/>
        <v>1</v>
      </c>
      <c r="D228" s="10">
        <v>45658</v>
      </c>
      <c r="E228" s="9" t="s">
        <v>27</v>
      </c>
      <c r="F228" s="9" t="s">
        <v>28</v>
      </c>
      <c r="G228" s="21">
        <v>46495.4</v>
      </c>
      <c r="H228" s="21">
        <v>9908</v>
      </c>
      <c r="I228" s="21">
        <v>0.121</v>
      </c>
      <c r="J228" s="21">
        <v>22</v>
      </c>
      <c r="K228" s="21">
        <v>89.4</v>
      </c>
      <c r="L228" s="21">
        <v>3.22</v>
      </c>
      <c r="M228" s="21">
        <v>0</v>
      </c>
      <c r="N228" s="21">
        <v>3.7</v>
      </c>
      <c r="O228" s="21">
        <v>721079.35</v>
      </c>
      <c r="P228" s="21">
        <v>115295.05</v>
      </c>
    </row>
    <row r="229" spans="1:16">
      <c r="A229" s="9" t="s">
        <v>81</v>
      </c>
      <c r="B229" s="9">
        <f t="shared" si="6"/>
        <v>2025</v>
      </c>
      <c r="C229" s="9">
        <f t="shared" si="7"/>
        <v>2</v>
      </c>
      <c r="D229" s="10">
        <v>45689</v>
      </c>
      <c r="E229" s="9" t="s">
        <v>27</v>
      </c>
      <c r="F229" s="9" t="s">
        <v>28</v>
      </c>
      <c r="G229" s="21">
        <v>72961.95</v>
      </c>
      <c r="H229" s="21">
        <v>9996</v>
      </c>
      <c r="I229" s="21">
        <v>0.106</v>
      </c>
      <c r="J229" s="21">
        <v>22</v>
      </c>
      <c r="K229" s="21">
        <v>89.1</v>
      </c>
      <c r="L229" s="21">
        <v>15.66</v>
      </c>
      <c r="M229" s="21">
        <v>0</v>
      </c>
      <c r="N229" s="21">
        <v>3.4</v>
      </c>
      <c r="O229" s="21">
        <v>810355.02</v>
      </c>
      <c r="P229" s="21">
        <v>131510</v>
      </c>
    </row>
    <row r="230" spans="1:16">
      <c r="A230" s="9" t="s">
        <v>81</v>
      </c>
      <c r="B230" s="9">
        <f t="shared" si="6"/>
        <v>2025</v>
      </c>
      <c r="C230" s="9">
        <f t="shared" si="7"/>
        <v>3</v>
      </c>
      <c r="D230" s="10">
        <v>45717</v>
      </c>
      <c r="E230" s="9" t="s">
        <v>27</v>
      </c>
      <c r="F230" s="9" t="s">
        <v>28</v>
      </c>
      <c r="G230" s="21">
        <v>59060.05</v>
      </c>
      <c r="H230" s="21">
        <v>9702</v>
      </c>
      <c r="I230" s="21">
        <v>0.20100000000000001</v>
      </c>
      <c r="J230" s="21">
        <v>23</v>
      </c>
      <c r="K230" s="21">
        <v>80.900000000000006</v>
      </c>
      <c r="L230" s="21">
        <v>6.96</v>
      </c>
      <c r="M230" s="21">
        <v>0</v>
      </c>
      <c r="N230" s="21">
        <v>3.2</v>
      </c>
      <c r="O230" s="21">
        <v>761919.25</v>
      </c>
      <c r="P230" s="21">
        <v>111893.06</v>
      </c>
    </row>
    <row r="231" spans="1:16">
      <c r="A231" s="9" t="s">
        <v>81</v>
      </c>
      <c r="B231" s="9">
        <f t="shared" si="6"/>
        <v>2025</v>
      </c>
      <c r="C231" s="9">
        <f t="shared" si="7"/>
        <v>4</v>
      </c>
      <c r="D231" s="10">
        <v>45748</v>
      </c>
      <c r="E231" s="9" t="s">
        <v>27</v>
      </c>
      <c r="F231" s="9" t="s">
        <v>28</v>
      </c>
      <c r="G231" s="21">
        <v>26248.1</v>
      </c>
      <c r="H231" s="21">
        <v>9314</v>
      </c>
      <c r="I231" s="21">
        <v>0.186</v>
      </c>
      <c r="J231" s="21">
        <v>21</v>
      </c>
      <c r="K231" s="21">
        <v>83.7</v>
      </c>
      <c r="L231" s="21">
        <v>4.62</v>
      </c>
      <c r="M231" s="21">
        <v>0</v>
      </c>
      <c r="N231" s="21">
        <v>3.3</v>
      </c>
      <c r="O231" s="21">
        <v>737070.18</v>
      </c>
      <c r="P231" s="21">
        <v>117593.97</v>
      </c>
    </row>
    <row r="232" spans="1:16">
      <c r="A232" s="9" t="s">
        <v>82</v>
      </c>
      <c r="B232" s="9">
        <f t="shared" si="6"/>
        <v>2025</v>
      </c>
      <c r="C232" s="9">
        <f t="shared" si="7"/>
        <v>1</v>
      </c>
      <c r="D232" s="10">
        <v>45658</v>
      </c>
      <c r="E232" s="9" t="s">
        <v>24</v>
      </c>
      <c r="F232" s="9" t="s">
        <v>21</v>
      </c>
      <c r="G232" s="21">
        <v>69900.12</v>
      </c>
      <c r="H232" s="21">
        <v>8055</v>
      </c>
      <c r="I232" s="21">
        <v>0.28100000000000003</v>
      </c>
      <c r="J232" s="21">
        <v>22</v>
      </c>
      <c r="K232" s="21">
        <v>85.6</v>
      </c>
      <c r="L232" s="21">
        <v>10.68</v>
      </c>
      <c r="M232" s="21">
        <v>1</v>
      </c>
      <c r="N232" s="21">
        <v>2.9</v>
      </c>
      <c r="O232" s="21">
        <v>776992.93</v>
      </c>
      <c r="P232" s="21">
        <v>101598.32</v>
      </c>
    </row>
    <row r="233" spans="1:16">
      <c r="A233" s="9" t="s">
        <v>82</v>
      </c>
      <c r="B233" s="9">
        <f t="shared" si="6"/>
        <v>2025</v>
      </c>
      <c r="C233" s="9">
        <f t="shared" si="7"/>
        <v>2</v>
      </c>
      <c r="D233" s="10">
        <v>45689</v>
      </c>
      <c r="E233" s="9" t="s">
        <v>24</v>
      </c>
      <c r="F233" s="9" t="s">
        <v>21</v>
      </c>
      <c r="G233" s="21">
        <v>51781.599999999999</v>
      </c>
      <c r="H233" s="21">
        <v>5648</v>
      </c>
      <c r="I233" s="21">
        <v>5.8999999999999997E-2</v>
      </c>
      <c r="J233" s="21">
        <v>13</v>
      </c>
      <c r="K233" s="21">
        <v>85.5</v>
      </c>
      <c r="L233" s="21">
        <v>4.04</v>
      </c>
      <c r="M233" s="21">
        <v>0</v>
      </c>
      <c r="N233" s="21">
        <v>3.7</v>
      </c>
      <c r="O233" s="21">
        <v>676337.41</v>
      </c>
      <c r="P233" s="21">
        <v>104355.77</v>
      </c>
    </row>
    <row r="234" spans="1:16">
      <c r="A234" s="9" t="s">
        <v>82</v>
      </c>
      <c r="B234" s="9">
        <f t="shared" si="6"/>
        <v>2025</v>
      </c>
      <c r="C234" s="9">
        <f t="shared" si="7"/>
        <v>3</v>
      </c>
      <c r="D234" s="10">
        <v>45717</v>
      </c>
      <c r="E234" s="9" t="s">
        <v>24</v>
      </c>
      <c r="F234" s="9" t="s">
        <v>21</v>
      </c>
      <c r="G234" s="21">
        <v>70799.64</v>
      </c>
      <c r="H234" s="21">
        <v>10076</v>
      </c>
      <c r="I234" s="21">
        <v>0.152</v>
      </c>
      <c r="J234" s="21">
        <v>24</v>
      </c>
      <c r="K234" s="21">
        <v>84.8</v>
      </c>
      <c r="L234" s="21">
        <v>1.87</v>
      </c>
      <c r="M234" s="21">
        <v>0</v>
      </c>
      <c r="N234" s="21">
        <v>3.5</v>
      </c>
      <c r="O234" s="21">
        <v>828219.67</v>
      </c>
      <c r="P234" s="21">
        <v>179806.87</v>
      </c>
    </row>
    <row r="235" spans="1:16">
      <c r="A235" s="9" t="s">
        <v>82</v>
      </c>
      <c r="B235" s="9">
        <f t="shared" si="6"/>
        <v>2025</v>
      </c>
      <c r="C235" s="9">
        <f t="shared" si="7"/>
        <v>4</v>
      </c>
      <c r="D235" s="10">
        <v>45748</v>
      </c>
      <c r="E235" s="9" t="s">
        <v>24</v>
      </c>
      <c r="F235" s="9" t="s">
        <v>21</v>
      </c>
      <c r="G235" s="21">
        <v>53546.34</v>
      </c>
      <c r="H235" s="21">
        <v>8004</v>
      </c>
      <c r="I235" s="21">
        <v>0</v>
      </c>
      <c r="J235" s="21">
        <v>21</v>
      </c>
      <c r="K235" s="21">
        <v>95.2</v>
      </c>
      <c r="L235" s="21">
        <v>2.83</v>
      </c>
      <c r="M235" s="21">
        <v>0</v>
      </c>
      <c r="N235" s="21">
        <v>3</v>
      </c>
      <c r="O235" s="21">
        <v>763159.92</v>
      </c>
      <c r="P235" s="21">
        <v>177104.87</v>
      </c>
    </row>
    <row r="236" spans="1:16">
      <c r="A236" s="9" t="s">
        <v>83</v>
      </c>
      <c r="B236" s="9">
        <f t="shared" si="6"/>
        <v>2025</v>
      </c>
      <c r="C236" s="9">
        <f t="shared" si="7"/>
        <v>1</v>
      </c>
      <c r="D236" s="10">
        <v>45658</v>
      </c>
      <c r="E236" s="9" t="s">
        <v>15</v>
      </c>
      <c r="F236" s="9" t="s">
        <v>18</v>
      </c>
      <c r="G236" s="21">
        <v>76942.2</v>
      </c>
      <c r="H236" s="21">
        <v>8934</v>
      </c>
      <c r="I236" s="21">
        <v>8.4000000000000005E-2</v>
      </c>
      <c r="J236" s="21">
        <v>20</v>
      </c>
      <c r="K236" s="21">
        <v>91</v>
      </c>
      <c r="L236" s="21">
        <v>0.95</v>
      </c>
      <c r="M236" s="21">
        <v>0</v>
      </c>
      <c r="N236" s="21">
        <v>3.2</v>
      </c>
      <c r="O236" s="21">
        <v>802001.68</v>
      </c>
      <c r="P236" s="21">
        <v>159715.82</v>
      </c>
    </row>
    <row r="237" spans="1:16">
      <c r="A237" s="9" t="s">
        <v>83</v>
      </c>
      <c r="B237" s="9">
        <f t="shared" si="6"/>
        <v>2025</v>
      </c>
      <c r="C237" s="9">
        <f t="shared" si="7"/>
        <v>2</v>
      </c>
      <c r="D237" s="10">
        <v>45689</v>
      </c>
      <c r="E237" s="9" t="s">
        <v>15</v>
      </c>
      <c r="F237" s="9" t="s">
        <v>18</v>
      </c>
      <c r="G237" s="21">
        <v>48060.78</v>
      </c>
      <c r="H237" s="21">
        <v>8733</v>
      </c>
      <c r="I237" s="21">
        <v>0</v>
      </c>
      <c r="J237" s="21">
        <v>20</v>
      </c>
      <c r="K237" s="21">
        <v>89.9</v>
      </c>
      <c r="L237" s="21">
        <v>0.8</v>
      </c>
      <c r="M237" s="21">
        <v>0</v>
      </c>
      <c r="N237" s="21">
        <v>3.4</v>
      </c>
      <c r="O237" s="21">
        <v>750471.34</v>
      </c>
      <c r="P237" s="21">
        <v>133788.04</v>
      </c>
    </row>
    <row r="238" spans="1:16">
      <c r="A238" s="9" t="s">
        <v>83</v>
      </c>
      <c r="B238" s="9">
        <f t="shared" si="6"/>
        <v>2025</v>
      </c>
      <c r="C238" s="9">
        <f t="shared" si="7"/>
        <v>3</v>
      </c>
      <c r="D238" s="10">
        <v>45717</v>
      </c>
      <c r="E238" s="9" t="s">
        <v>15</v>
      </c>
      <c r="F238" s="9" t="s">
        <v>18</v>
      </c>
      <c r="G238" s="21">
        <v>57390.04</v>
      </c>
      <c r="H238" s="21">
        <v>7374</v>
      </c>
      <c r="I238" s="21">
        <v>0.21</v>
      </c>
      <c r="J238" s="21">
        <v>21</v>
      </c>
      <c r="K238" s="21">
        <v>91.8</v>
      </c>
      <c r="L238" s="21">
        <v>0.2</v>
      </c>
      <c r="M238" s="21">
        <v>0</v>
      </c>
      <c r="N238" s="21">
        <v>3.1</v>
      </c>
      <c r="O238" s="21">
        <v>679230.86</v>
      </c>
      <c r="P238" s="21">
        <v>106927.58</v>
      </c>
    </row>
    <row r="239" spans="1:16">
      <c r="A239" s="9" t="s">
        <v>83</v>
      </c>
      <c r="B239" s="9">
        <f t="shared" si="6"/>
        <v>2025</v>
      </c>
      <c r="C239" s="9">
        <f t="shared" si="7"/>
        <v>4</v>
      </c>
      <c r="D239" s="10">
        <v>45748</v>
      </c>
      <c r="E239" s="9" t="s">
        <v>15</v>
      </c>
      <c r="F239" s="9" t="s">
        <v>18</v>
      </c>
      <c r="G239" s="21">
        <v>21536.18</v>
      </c>
      <c r="H239" s="21">
        <v>8119</v>
      </c>
      <c r="I239" s="21">
        <v>0.22700000000000001</v>
      </c>
      <c r="J239" s="21">
        <v>20</v>
      </c>
      <c r="K239" s="21">
        <v>90.4</v>
      </c>
      <c r="L239" s="21">
        <v>1.7</v>
      </c>
      <c r="M239" s="21">
        <v>0</v>
      </c>
      <c r="N239" s="21">
        <v>3.3</v>
      </c>
      <c r="O239" s="21">
        <v>679888.74</v>
      </c>
      <c r="P239" s="21">
        <v>83406.89</v>
      </c>
    </row>
    <row r="240" spans="1:16">
      <c r="A240" s="9" t="s">
        <v>84</v>
      </c>
      <c r="B240" s="9">
        <f t="shared" si="6"/>
        <v>2025</v>
      </c>
      <c r="C240" s="9">
        <f t="shared" si="7"/>
        <v>2</v>
      </c>
      <c r="D240" s="10">
        <v>45689</v>
      </c>
      <c r="E240" s="9" t="s">
        <v>20</v>
      </c>
      <c r="F240" s="9" t="s">
        <v>18</v>
      </c>
      <c r="G240" s="21">
        <v>72932.55</v>
      </c>
      <c r="H240" s="21">
        <v>5765</v>
      </c>
      <c r="I240" s="21">
        <v>2.5999999999999999E-2</v>
      </c>
      <c r="J240" s="21">
        <v>17</v>
      </c>
      <c r="K240" s="21">
        <v>81.8</v>
      </c>
      <c r="L240" s="21">
        <v>5.0999999999999996</v>
      </c>
      <c r="M240" s="21">
        <v>0</v>
      </c>
      <c r="N240" s="21">
        <v>3.6</v>
      </c>
      <c r="O240" s="21">
        <v>642751.42000000004</v>
      </c>
      <c r="P240" s="21">
        <v>131942.15</v>
      </c>
    </row>
    <row r="241" spans="1:16">
      <c r="A241" s="9" t="s">
        <v>84</v>
      </c>
      <c r="B241" s="9">
        <f t="shared" si="6"/>
        <v>2025</v>
      </c>
      <c r="C241" s="9">
        <f t="shared" si="7"/>
        <v>3</v>
      </c>
      <c r="D241" s="10">
        <v>45717</v>
      </c>
      <c r="E241" s="9" t="s">
        <v>20</v>
      </c>
      <c r="F241" s="9" t="s">
        <v>18</v>
      </c>
      <c r="G241" s="21">
        <v>38361.93</v>
      </c>
      <c r="H241" s="21">
        <v>6322</v>
      </c>
      <c r="I241" s="21">
        <v>0.27300000000000002</v>
      </c>
      <c r="J241" s="21">
        <v>15</v>
      </c>
      <c r="K241" s="21">
        <v>88.4</v>
      </c>
      <c r="L241" s="21">
        <v>0.83</v>
      </c>
      <c r="M241" s="21">
        <v>0</v>
      </c>
      <c r="N241" s="21">
        <v>4</v>
      </c>
      <c r="O241" s="21">
        <v>647953.78</v>
      </c>
      <c r="P241" s="21">
        <v>118497.43</v>
      </c>
    </row>
    <row r="242" spans="1:16">
      <c r="A242" s="9" t="s">
        <v>84</v>
      </c>
      <c r="B242" s="9">
        <f t="shared" si="6"/>
        <v>2025</v>
      </c>
      <c r="C242" s="9">
        <f t="shared" si="7"/>
        <v>4</v>
      </c>
      <c r="D242" s="10">
        <v>45748</v>
      </c>
      <c r="E242" s="9" t="s">
        <v>20</v>
      </c>
      <c r="F242" s="9" t="s">
        <v>18</v>
      </c>
      <c r="G242" s="21">
        <v>97480.94</v>
      </c>
      <c r="H242" s="21">
        <v>6840</v>
      </c>
      <c r="I242" s="21">
        <v>8.6999999999999994E-2</v>
      </c>
      <c r="J242" s="21">
        <v>14</v>
      </c>
      <c r="K242" s="21">
        <v>79.2</v>
      </c>
      <c r="L242" s="21">
        <v>1.1399999999999999</v>
      </c>
      <c r="M242" s="21">
        <v>0</v>
      </c>
      <c r="N242" s="21">
        <v>4</v>
      </c>
      <c r="O242" s="21">
        <v>729440.45</v>
      </c>
      <c r="P242" s="21">
        <v>87614.29</v>
      </c>
    </row>
    <row r="243" spans="1:16">
      <c r="A243" s="9" t="s">
        <v>85</v>
      </c>
      <c r="B243" s="9">
        <f t="shared" si="6"/>
        <v>2025</v>
      </c>
      <c r="C243" s="9">
        <f t="shared" si="7"/>
        <v>1</v>
      </c>
      <c r="D243" s="10">
        <v>45658</v>
      </c>
      <c r="E243" s="9" t="s">
        <v>24</v>
      </c>
      <c r="F243" s="9" t="s">
        <v>21</v>
      </c>
      <c r="G243" s="21">
        <v>81801.8</v>
      </c>
      <c r="H243" s="21">
        <v>6782</v>
      </c>
      <c r="I243" s="21">
        <v>0.05</v>
      </c>
      <c r="J243" s="21">
        <v>16</v>
      </c>
      <c r="K243" s="21">
        <v>99</v>
      </c>
      <c r="L243" s="21">
        <v>9.5399999999999991</v>
      </c>
      <c r="M243" s="21">
        <v>0</v>
      </c>
      <c r="N243" s="21">
        <v>3.7</v>
      </c>
      <c r="O243" s="21">
        <v>764949</v>
      </c>
      <c r="P243" s="21">
        <v>148322.43</v>
      </c>
    </row>
    <row r="244" spans="1:16">
      <c r="A244" s="9" t="s">
        <v>85</v>
      </c>
      <c r="B244" s="9">
        <f t="shared" si="6"/>
        <v>2025</v>
      </c>
      <c r="C244" s="9">
        <f t="shared" si="7"/>
        <v>2</v>
      </c>
      <c r="D244" s="10">
        <v>45689</v>
      </c>
      <c r="E244" s="9" t="s">
        <v>24</v>
      </c>
      <c r="F244" s="9" t="s">
        <v>21</v>
      </c>
      <c r="G244" s="21">
        <v>63582.11</v>
      </c>
      <c r="H244" s="21">
        <v>6856</v>
      </c>
      <c r="I244" s="21">
        <v>7.3999999999999996E-2</v>
      </c>
      <c r="J244" s="21">
        <v>17</v>
      </c>
      <c r="K244" s="21">
        <v>89.5</v>
      </c>
      <c r="L244" s="21">
        <v>5.48</v>
      </c>
      <c r="M244" s="21">
        <v>0</v>
      </c>
      <c r="N244" s="21">
        <v>3.2</v>
      </c>
      <c r="O244" s="21">
        <v>799046.94</v>
      </c>
      <c r="P244" s="21">
        <v>144553.64000000001</v>
      </c>
    </row>
    <row r="245" spans="1:16">
      <c r="A245" s="9" t="s">
        <v>85</v>
      </c>
      <c r="B245" s="9">
        <f t="shared" si="6"/>
        <v>2025</v>
      </c>
      <c r="C245" s="9">
        <f t="shared" si="7"/>
        <v>3</v>
      </c>
      <c r="D245" s="10">
        <v>45717</v>
      </c>
      <c r="E245" s="9" t="s">
        <v>24</v>
      </c>
      <c r="F245" s="9" t="s">
        <v>21</v>
      </c>
      <c r="G245" s="21">
        <v>75412.740000000005</v>
      </c>
      <c r="H245" s="21">
        <v>5641</v>
      </c>
      <c r="I245" s="21">
        <v>5.8999999999999997E-2</v>
      </c>
      <c r="J245" s="21">
        <v>13</v>
      </c>
      <c r="K245" s="21">
        <v>87.9</v>
      </c>
      <c r="L245" s="21">
        <v>0.84</v>
      </c>
      <c r="M245" s="21">
        <v>0</v>
      </c>
      <c r="N245" s="21">
        <v>3.6</v>
      </c>
      <c r="O245" s="21">
        <v>720079.54</v>
      </c>
      <c r="P245" s="21">
        <v>119499.47</v>
      </c>
    </row>
    <row r="246" spans="1:16">
      <c r="A246" s="9" t="s">
        <v>85</v>
      </c>
      <c r="B246" s="9">
        <f t="shared" si="6"/>
        <v>2025</v>
      </c>
      <c r="C246" s="9">
        <f t="shared" si="7"/>
        <v>4</v>
      </c>
      <c r="D246" s="10">
        <v>45748</v>
      </c>
      <c r="E246" s="9" t="s">
        <v>24</v>
      </c>
      <c r="F246" s="9" t="s">
        <v>21</v>
      </c>
      <c r="G246" s="21">
        <v>36290.080000000002</v>
      </c>
      <c r="H246" s="21">
        <v>5787</v>
      </c>
      <c r="I246" s="21">
        <v>0</v>
      </c>
      <c r="J246" s="21">
        <v>17</v>
      </c>
      <c r="K246" s="21">
        <v>88.3</v>
      </c>
      <c r="L246" s="21">
        <v>4.1900000000000004</v>
      </c>
      <c r="M246" s="21">
        <v>0</v>
      </c>
      <c r="N246" s="21">
        <v>4.0999999999999996</v>
      </c>
      <c r="O246" s="21">
        <v>612390.14</v>
      </c>
      <c r="P246" s="21">
        <v>108985.74</v>
      </c>
    </row>
    <row r="247" spans="1:16">
      <c r="A247" s="9" t="s">
        <v>86</v>
      </c>
      <c r="B247" s="9">
        <f t="shared" si="6"/>
        <v>2025</v>
      </c>
      <c r="C247" s="9">
        <f t="shared" si="7"/>
        <v>1</v>
      </c>
      <c r="D247" s="10">
        <v>45658</v>
      </c>
      <c r="E247" s="9" t="s">
        <v>24</v>
      </c>
      <c r="F247" s="9" t="s">
        <v>28</v>
      </c>
      <c r="G247" s="21">
        <v>65272.58</v>
      </c>
      <c r="H247" s="21">
        <v>8165</v>
      </c>
      <c r="I247" s="21">
        <v>5.0999999999999997E-2</v>
      </c>
      <c r="J247" s="21">
        <v>19</v>
      </c>
      <c r="K247" s="21">
        <v>87.8</v>
      </c>
      <c r="L247" s="21">
        <v>1.26</v>
      </c>
      <c r="M247" s="21">
        <v>1</v>
      </c>
      <c r="N247" s="21">
        <v>4.3</v>
      </c>
      <c r="O247" s="21">
        <v>840108.12</v>
      </c>
      <c r="P247" s="21">
        <v>126587.01</v>
      </c>
    </row>
    <row r="248" spans="1:16">
      <c r="A248" s="9" t="s">
        <v>86</v>
      </c>
      <c r="B248" s="9">
        <f t="shared" ref="B248:B307" si="8">YEAR(D248)</f>
        <v>2025</v>
      </c>
      <c r="C248" s="9">
        <f t="shared" ref="C248:C307" si="9">MONTH(D248)</f>
        <v>2</v>
      </c>
      <c r="D248" s="10">
        <v>45689</v>
      </c>
      <c r="E248" s="9" t="s">
        <v>24</v>
      </c>
      <c r="F248" s="9" t="s">
        <v>28</v>
      </c>
      <c r="G248" s="21">
        <v>28670.43</v>
      </c>
      <c r="H248" s="21">
        <v>7574</v>
      </c>
      <c r="I248" s="21">
        <v>0.114</v>
      </c>
      <c r="J248" s="21">
        <v>19</v>
      </c>
      <c r="K248" s="21">
        <v>82.7</v>
      </c>
      <c r="L248" s="21">
        <v>2.74</v>
      </c>
      <c r="M248" s="21">
        <v>0</v>
      </c>
      <c r="N248" s="21">
        <v>4.5999999999999996</v>
      </c>
      <c r="O248" s="21">
        <v>697888.09</v>
      </c>
      <c r="P248" s="21">
        <v>116249.87</v>
      </c>
    </row>
    <row r="249" spans="1:16">
      <c r="A249" s="9" t="s">
        <v>86</v>
      </c>
      <c r="B249" s="9">
        <f t="shared" si="8"/>
        <v>2025</v>
      </c>
      <c r="C249" s="9">
        <f t="shared" si="9"/>
        <v>3</v>
      </c>
      <c r="D249" s="10">
        <v>45717</v>
      </c>
      <c r="E249" s="9" t="s">
        <v>24</v>
      </c>
      <c r="F249" s="9" t="s">
        <v>28</v>
      </c>
      <c r="G249" s="21">
        <v>44189.34</v>
      </c>
      <c r="H249" s="21">
        <v>8634</v>
      </c>
      <c r="I249" s="21">
        <v>0.14299999999999999</v>
      </c>
      <c r="J249" s="21">
        <v>19</v>
      </c>
      <c r="K249" s="21">
        <v>87.5</v>
      </c>
      <c r="L249" s="21">
        <v>3.69</v>
      </c>
      <c r="M249" s="21">
        <v>0</v>
      </c>
      <c r="N249" s="21">
        <v>4.4000000000000004</v>
      </c>
      <c r="O249" s="21">
        <v>746115.59</v>
      </c>
      <c r="P249" s="21">
        <v>94662.96</v>
      </c>
    </row>
    <row r="250" spans="1:16">
      <c r="A250" s="9" t="s">
        <v>86</v>
      </c>
      <c r="B250" s="9">
        <f t="shared" si="8"/>
        <v>2025</v>
      </c>
      <c r="C250" s="9">
        <f t="shared" si="9"/>
        <v>4</v>
      </c>
      <c r="D250" s="10">
        <v>45748</v>
      </c>
      <c r="E250" s="9" t="s">
        <v>24</v>
      </c>
      <c r="F250" s="9" t="s">
        <v>28</v>
      </c>
      <c r="G250" s="21">
        <v>38397.82</v>
      </c>
      <c r="H250" s="21">
        <v>7836</v>
      </c>
      <c r="I250" s="21">
        <v>7.0000000000000001E-3</v>
      </c>
      <c r="J250" s="21">
        <v>21</v>
      </c>
      <c r="K250" s="21">
        <v>92.2</v>
      </c>
      <c r="L250" s="21">
        <v>1.82</v>
      </c>
      <c r="M250" s="21">
        <v>0</v>
      </c>
      <c r="N250" s="21">
        <v>3.6</v>
      </c>
      <c r="O250" s="21">
        <v>776110.32</v>
      </c>
      <c r="P250" s="21">
        <v>139676.21</v>
      </c>
    </row>
    <row r="251" spans="1:16">
      <c r="A251" s="9" t="s">
        <v>87</v>
      </c>
      <c r="B251" s="9">
        <f t="shared" si="8"/>
        <v>2025</v>
      </c>
      <c r="C251" s="9">
        <f t="shared" si="9"/>
        <v>1</v>
      </c>
      <c r="D251" s="10">
        <v>45658</v>
      </c>
      <c r="E251" s="9" t="s">
        <v>27</v>
      </c>
      <c r="F251" s="9" t="s">
        <v>18</v>
      </c>
      <c r="G251" s="21">
        <v>14519.37</v>
      </c>
      <c r="H251" s="21">
        <v>3047</v>
      </c>
      <c r="I251" s="21">
        <v>0.13500000000000001</v>
      </c>
      <c r="J251" s="21">
        <v>10</v>
      </c>
      <c r="K251" s="21">
        <v>90.3</v>
      </c>
      <c r="L251" s="21">
        <v>6.62</v>
      </c>
      <c r="M251" s="21">
        <v>0</v>
      </c>
      <c r="N251" s="21">
        <v>4.2</v>
      </c>
      <c r="O251" s="21">
        <v>528852.62</v>
      </c>
      <c r="P251" s="21">
        <v>68426.210000000006</v>
      </c>
    </row>
    <row r="252" spans="1:16">
      <c r="A252" s="9" t="s">
        <v>87</v>
      </c>
      <c r="B252" s="9">
        <f t="shared" si="8"/>
        <v>2025</v>
      </c>
      <c r="C252" s="9">
        <f t="shared" si="9"/>
        <v>3</v>
      </c>
      <c r="D252" s="10">
        <v>45717</v>
      </c>
      <c r="E252" s="9" t="s">
        <v>27</v>
      </c>
      <c r="F252" s="9" t="s">
        <v>18</v>
      </c>
      <c r="G252" s="21">
        <v>51450.55</v>
      </c>
      <c r="H252" s="21">
        <v>4902</v>
      </c>
      <c r="I252" s="21">
        <v>8.5999999999999993E-2</v>
      </c>
      <c r="J252" s="21">
        <v>11</v>
      </c>
      <c r="K252" s="21">
        <v>83.7</v>
      </c>
      <c r="L252" s="21">
        <v>6.92</v>
      </c>
      <c r="M252" s="21">
        <v>1</v>
      </c>
      <c r="N252" s="21">
        <v>4.2</v>
      </c>
      <c r="O252" s="21">
        <v>677640.65</v>
      </c>
      <c r="P252" s="21">
        <v>111610.89</v>
      </c>
    </row>
    <row r="253" spans="1:16">
      <c r="A253" s="9" t="s">
        <v>87</v>
      </c>
      <c r="B253" s="9">
        <f t="shared" si="8"/>
        <v>2025</v>
      </c>
      <c r="C253" s="9">
        <f t="shared" si="9"/>
        <v>4</v>
      </c>
      <c r="D253" s="10">
        <v>45748</v>
      </c>
      <c r="E253" s="9" t="s">
        <v>27</v>
      </c>
      <c r="F253" s="9" t="s">
        <v>18</v>
      </c>
      <c r="G253" s="21">
        <v>58688.26</v>
      </c>
      <c r="H253" s="21">
        <v>4022</v>
      </c>
      <c r="I253" s="21">
        <v>0.217</v>
      </c>
      <c r="J253" s="21">
        <v>12</v>
      </c>
      <c r="K253" s="21">
        <v>93.8</v>
      </c>
      <c r="L253" s="21">
        <v>11.78</v>
      </c>
      <c r="M253" s="21">
        <v>0</v>
      </c>
      <c r="N253" s="21">
        <v>3.7</v>
      </c>
      <c r="O253" s="21">
        <v>636613.23</v>
      </c>
      <c r="P253" s="21">
        <v>78908.350000000006</v>
      </c>
    </row>
    <row r="254" spans="1:16">
      <c r="A254" s="9" t="s">
        <v>88</v>
      </c>
      <c r="B254" s="9">
        <f t="shared" si="8"/>
        <v>2025</v>
      </c>
      <c r="C254" s="9">
        <f t="shared" si="9"/>
        <v>1</v>
      </c>
      <c r="D254" s="10">
        <v>45658</v>
      </c>
      <c r="E254" s="9" t="s">
        <v>15</v>
      </c>
      <c r="F254" s="9" t="s">
        <v>18</v>
      </c>
      <c r="G254" s="21">
        <v>58981.91</v>
      </c>
      <c r="H254" s="21">
        <v>7324</v>
      </c>
      <c r="I254" s="21">
        <v>9.4E-2</v>
      </c>
      <c r="J254" s="21">
        <v>15</v>
      </c>
      <c r="K254" s="21">
        <v>95.8</v>
      </c>
      <c r="L254" s="21">
        <v>0.5</v>
      </c>
      <c r="M254" s="21">
        <v>0</v>
      </c>
      <c r="N254" s="21">
        <v>3.5</v>
      </c>
      <c r="O254" s="21">
        <v>708985.19</v>
      </c>
      <c r="P254" s="21">
        <v>125368.16</v>
      </c>
    </row>
    <row r="255" spans="1:16">
      <c r="A255" s="9" t="s">
        <v>88</v>
      </c>
      <c r="B255" s="9">
        <f t="shared" si="8"/>
        <v>2025</v>
      </c>
      <c r="C255" s="9">
        <f t="shared" si="9"/>
        <v>2</v>
      </c>
      <c r="D255" s="10">
        <v>45689</v>
      </c>
      <c r="E255" s="9" t="s">
        <v>15</v>
      </c>
      <c r="F255" s="9" t="s">
        <v>18</v>
      </c>
      <c r="G255" s="21">
        <v>73454.539999999994</v>
      </c>
      <c r="H255" s="21">
        <v>8129</v>
      </c>
      <c r="I255" s="21">
        <v>0.21099999999999999</v>
      </c>
      <c r="J255" s="21">
        <v>20</v>
      </c>
      <c r="K255" s="21">
        <v>85.2</v>
      </c>
      <c r="L255" s="21">
        <v>0.88</v>
      </c>
      <c r="M255" s="21">
        <v>0</v>
      </c>
      <c r="N255" s="21">
        <v>3.7</v>
      </c>
      <c r="O255" s="21">
        <v>767792.94</v>
      </c>
      <c r="P255" s="21">
        <v>96235.77</v>
      </c>
    </row>
    <row r="256" spans="1:16">
      <c r="A256" s="9" t="s">
        <v>88</v>
      </c>
      <c r="B256" s="9">
        <f t="shared" si="8"/>
        <v>2025</v>
      </c>
      <c r="C256" s="9">
        <f t="shared" si="9"/>
        <v>3</v>
      </c>
      <c r="D256" s="10">
        <v>45717</v>
      </c>
      <c r="E256" s="9" t="s">
        <v>15</v>
      </c>
      <c r="F256" s="9" t="s">
        <v>18</v>
      </c>
      <c r="G256" s="21">
        <v>56602.39</v>
      </c>
      <c r="H256" s="21">
        <v>7969</v>
      </c>
      <c r="I256" s="21">
        <v>0.17</v>
      </c>
      <c r="J256" s="21">
        <v>21</v>
      </c>
      <c r="K256" s="21">
        <v>88.3</v>
      </c>
      <c r="L256" s="21">
        <v>2.25</v>
      </c>
      <c r="M256" s="21">
        <v>0</v>
      </c>
      <c r="N256" s="21">
        <v>3.7</v>
      </c>
      <c r="O256" s="21">
        <v>745580.51</v>
      </c>
      <c r="P256" s="21">
        <v>116273.68</v>
      </c>
    </row>
    <row r="257" spans="1:16">
      <c r="A257" s="9" t="s">
        <v>88</v>
      </c>
      <c r="B257" s="9">
        <f t="shared" si="8"/>
        <v>2025</v>
      </c>
      <c r="C257" s="9">
        <f t="shared" si="9"/>
        <v>4</v>
      </c>
      <c r="D257" s="10">
        <v>45748</v>
      </c>
      <c r="E257" s="9" t="s">
        <v>15</v>
      </c>
      <c r="F257" s="9" t="s">
        <v>18</v>
      </c>
      <c r="G257" s="21">
        <v>67722.289999999994</v>
      </c>
      <c r="H257" s="21">
        <v>7240</v>
      </c>
      <c r="I257" s="21">
        <v>2.5999999999999999E-2</v>
      </c>
      <c r="J257" s="21">
        <v>15</v>
      </c>
      <c r="K257" s="21">
        <v>92.9</v>
      </c>
      <c r="L257" s="21">
        <v>0.28999999999999998</v>
      </c>
      <c r="M257" s="21">
        <v>0</v>
      </c>
      <c r="N257" s="21">
        <v>3.5</v>
      </c>
      <c r="O257" s="21">
        <v>762328.31</v>
      </c>
      <c r="P257" s="21">
        <v>159158.19</v>
      </c>
    </row>
    <row r="258" spans="1:16">
      <c r="A258" s="9" t="s">
        <v>89</v>
      </c>
      <c r="B258" s="9">
        <f t="shared" si="8"/>
        <v>2025</v>
      </c>
      <c r="C258" s="9">
        <f t="shared" si="9"/>
        <v>1</v>
      </c>
      <c r="D258" s="10">
        <v>45658</v>
      </c>
      <c r="E258" s="9" t="s">
        <v>15</v>
      </c>
      <c r="F258" s="9" t="s">
        <v>28</v>
      </c>
      <c r="G258" s="21">
        <v>48752.92</v>
      </c>
      <c r="H258" s="21">
        <v>8052</v>
      </c>
      <c r="I258" s="21">
        <v>0.106</v>
      </c>
      <c r="J258" s="21">
        <v>16</v>
      </c>
      <c r="K258" s="21">
        <v>94.9</v>
      </c>
      <c r="L258" s="21">
        <v>0.65</v>
      </c>
      <c r="M258" s="21">
        <v>0</v>
      </c>
      <c r="N258" s="21">
        <v>3.6</v>
      </c>
      <c r="O258" s="21">
        <v>660633.99</v>
      </c>
      <c r="P258" s="21">
        <v>118768.66</v>
      </c>
    </row>
    <row r="259" spans="1:16">
      <c r="A259" s="9" t="s">
        <v>89</v>
      </c>
      <c r="B259" s="9">
        <f t="shared" si="8"/>
        <v>2025</v>
      </c>
      <c r="C259" s="9">
        <f t="shared" si="9"/>
        <v>2</v>
      </c>
      <c r="D259" s="10">
        <v>45689</v>
      </c>
      <c r="E259" s="9" t="s">
        <v>15</v>
      </c>
      <c r="F259" s="9" t="s">
        <v>28</v>
      </c>
      <c r="G259" s="21">
        <v>23914.97</v>
      </c>
      <c r="H259" s="21">
        <v>8018</v>
      </c>
      <c r="I259" s="21">
        <v>0.13900000000000001</v>
      </c>
      <c r="J259" s="21">
        <v>20</v>
      </c>
      <c r="K259" s="21">
        <v>89</v>
      </c>
      <c r="L259" s="21">
        <v>0.2</v>
      </c>
      <c r="M259" s="21">
        <v>0</v>
      </c>
      <c r="N259" s="21">
        <v>3.5</v>
      </c>
      <c r="O259" s="21">
        <v>739374.56</v>
      </c>
      <c r="P259" s="21">
        <v>121032.29</v>
      </c>
    </row>
    <row r="260" spans="1:16">
      <c r="A260" s="9" t="s">
        <v>89</v>
      </c>
      <c r="B260" s="9">
        <f t="shared" si="8"/>
        <v>2025</v>
      </c>
      <c r="C260" s="9">
        <f t="shared" si="9"/>
        <v>3</v>
      </c>
      <c r="D260" s="10">
        <v>45717</v>
      </c>
      <c r="E260" s="9" t="s">
        <v>15</v>
      </c>
      <c r="F260" s="9" t="s">
        <v>28</v>
      </c>
      <c r="G260" s="21">
        <v>61995.3</v>
      </c>
      <c r="H260" s="21">
        <v>10192</v>
      </c>
      <c r="I260" s="21">
        <v>0.19800000000000001</v>
      </c>
      <c r="J260" s="21">
        <v>21</v>
      </c>
      <c r="K260" s="21">
        <v>87.6</v>
      </c>
      <c r="L260" s="21">
        <v>3.63</v>
      </c>
      <c r="M260" s="21">
        <v>1</v>
      </c>
      <c r="N260" s="21">
        <v>3.8</v>
      </c>
      <c r="O260" s="21">
        <v>799756.46</v>
      </c>
      <c r="P260" s="21">
        <v>105052.93</v>
      </c>
    </row>
    <row r="261" spans="1:16">
      <c r="A261" s="9" t="s">
        <v>89</v>
      </c>
      <c r="B261" s="9">
        <f t="shared" si="8"/>
        <v>2025</v>
      </c>
      <c r="C261" s="9">
        <f t="shared" si="9"/>
        <v>4</v>
      </c>
      <c r="D261" s="10">
        <v>45748</v>
      </c>
      <c r="E261" s="9" t="s">
        <v>15</v>
      </c>
      <c r="F261" s="9" t="s">
        <v>28</v>
      </c>
      <c r="G261" s="21">
        <v>29344.93</v>
      </c>
      <c r="H261" s="21">
        <v>7446</v>
      </c>
      <c r="I261" s="21">
        <v>0.111</v>
      </c>
      <c r="J261" s="21">
        <v>15</v>
      </c>
      <c r="K261" s="21">
        <v>86.2</v>
      </c>
      <c r="L261" s="21">
        <v>0.2</v>
      </c>
      <c r="M261" s="21">
        <v>0</v>
      </c>
      <c r="N261" s="21">
        <v>3.2</v>
      </c>
      <c r="O261" s="21">
        <v>593343</v>
      </c>
      <c r="P261" s="21">
        <v>82832.240000000005</v>
      </c>
    </row>
    <row r="262" spans="1:16">
      <c r="A262" s="9" t="s">
        <v>90</v>
      </c>
      <c r="B262" s="9">
        <f t="shared" si="8"/>
        <v>2025</v>
      </c>
      <c r="C262" s="9">
        <f t="shared" si="9"/>
        <v>1</v>
      </c>
      <c r="D262" s="10">
        <v>45658</v>
      </c>
      <c r="E262" s="9" t="s">
        <v>27</v>
      </c>
      <c r="F262" s="9" t="s">
        <v>18</v>
      </c>
      <c r="G262" s="21">
        <v>50532.17</v>
      </c>
      <c r="H262" s="21">
        <v>5689</v>
      </c>
      <c r="I262" s="21">
        <v>5.1999999999999998E-2</v>
      </c>
      <c r="J262" s="21">
        <v>17</v>
      </c>
      <c r="K262" s="21">
        <v>85.6</v>
      </c>
      <c r="L262" s="21">
        <v>6.23</v>
      </c>
      <c r="M262" s="21">
        <v>0</v>
      </c>
      <c r="N262" s="21">
        <v>3.3</v>
      </c>
      <c r="O262" s="21">
        <v>645039.97</v>
      </c>
      <c r="P262" s="21">
        <v>83093.33</v>
      </c>
    </row>
    <row r="263" spans="1:16">
      <c r="A263" s="9" t="s">
        <v>90</v>
      </c>
      <c r="B263" s="9">
        <f t="shared" si="8"/>
        <v>2025</v>
      </c>
      <c r="C263" s="9">
        <f t="shared" si="9"/>
        <v>2</v>
      </c>
      <c r="D263" s="10">
        <v>45689</v>
      </c>
      <c r="E263" s="9" t="s">
        <v>27</v>
      </c>
      <c r="F263" s="9" t="s">
        <v>18</v>
      </c>
      <c r="G263" s="21">
        <v>17562.57</v>
      </c>
      <c r="H263" s="21">
        <v>3326</v>
      </c>
      <c r="I263" s="21">
        <v>0.153</v>
      </c>
      <c r="J263" s="21">
        <v>14</v>
      </c>
      <c r="K263" s="21">
        <v>88.1</v>
      </c>
      <c r="L263" s="21">
        <v>1.04</v>
      </c>
      <c r="M263" s="21">
        <v>0</v>
      </c>
      <c r="N263" s="21">
        <v>3.1</v>
      </c>
      <c r="O263" s="21">
        <v>561597.32999999996</v>
      </c>
      <c r="P263" s="21">
        <v>75072.75</v>
      </c>
    </row>
    <row r="264" spans="1:16">
      <c r="A264" s="9" t="s">
        <v>90</v>
      </c>
      <c r="B264" s="9">
        <f t="shared" si="8"/>
        <v>2025</v>
      </c>
      <c r="C264" s="9">
        <f t="shared" si="9"/>
        <v>3</v>
      </c>
      <c r="D264" s="10">
        <v>45717</v>
      </c>
      <c r="E264" s="9" t="s">
        <v>27</v>
      </c>
      <c r="F264" s="9" t="s">
        <v>18</v>
      </c>
      <c r="G264" s="21">
        <v>47648.71</v>
      </c>
      <c r="H264" s="21">
        <v>5767</v>
      </c>
      <c r="I264" s="21">
        <v>0.14099999999999999</v>
      </c>
      <c r="J264" s="21">
        <v>17</v>
      </c>
      <c r="K264" s="21">
        <v>89.8</v>
      </c>
      <c r="L264" s="21">
        <v>1.76</v>
      </c>
      <c r="M264" s="21">
        <v>0</v>
      </c>
      <c r="N264" s="21">
        <v>3.1</v>
      </c>
      <c r="O264" s="21">
        <v>635837.74</v>
      </c>
      <c r="P264" s="21">
        <v>114740.64</v>
      </c>
    </row>
    <row r="265" spans="1:16">
      <c r="A265" s="9" t="s">
        <v>90</v>
      </c>
      <c r="B265" s="9">
        <f t="shared" si="8"/>
        <v>2025</v>
      </c>
      <c r="C265" s="9">
        <f t="shared" si="9"/>
        <v>4</v>
      </c>
      <c r="D265" s="10">
        <v>45748</v>
      </c>
      <c r="E265" s="9" t="s">
        <v>27</v>
      </c>
      <c r="F265" s="9" t="s">
        <v>18</v>
      </c>
      <c r="G265" s="21">
        <v>38297.58</v>
      </c>
      <c r="H265" s="21">
        <v>5893</v>
      </c>
      <c r="I265" s="21">
        <v>0.247</v>
      </c>
      <c r="J265" s="21">
        <v>18</v>
      </c>
      <c r="K265" s="21">
        <v>77.599999999999994</v>
      </c>
      <c r="L265" s="21">
        <v>2.86</v>
      </c>
      <c r="M265" s="21">
        <v>0</v>
      </c>
      <c r="N265" s="21">
        <v>3</v>
      </c>
      <c r="O265" s="21">
        <v>686737.87</v>
      </c>
      <c r="P265" s="21">
        <v>83839.67</v>
      </c>
    </row>
    <row r="266" spans="1:16">
      <c r="A266" s="9" t="s">
        <v>91</v>
      </c>
      <c r="B266" s="9">
        <f t="shared" si="8"/>
        <v>2025</v>
      </c>
      <c r="C266" s="9">
        <f t="shared" si="9"/>
        <v>1</v>
      </c>
      <c r="D266" s="10">
        <v>45658</v>
      </c>
      <c r="E266" s="9" t="s">
        <v>24</v>
      </c>
      <c r="F266" s="9" t="s">
        <v>16</v>
      </c>
      <c r="G266" s="21">
        <v>61784.11</v>
      </c>
      <c r="H266" s="21">
        <v>8564</v>
      </c>
      <c r="I266" s="21">
        <v>0.13</v>
      </c>
      <c r="J266" s="21">
        <v>17</v>
      </c>
      <c r="K266" s="21">
        <v>87.4</v>
      </c>
      <c r="L266" s="21">
        <v>18.14</v>
      </c>
      <c r="M266" s="21">
        <v>1</v>
      </c>
      <c r="N266" s="21">
        <v>3.4</v>
      </c>
      <c r="O266" s="21">
        <v>673076.34</v>
      </c>
      <c r="P266" s="21">
        <v>93899.76</v>
      </c>
    </row>
    <row r="267" spans="1:16">
      <c r="A267" s="9" t="s">
        <v>91</v>
      </c>
      <c r="B267" s="9">
        <f t="shared" si="8"/>
        <v>2025</v>
      </c>
      <c r="C267" s="9">
        <f t="shared" si="9"/>
        <v>2</v>
      </c>
      <c r="D267" s="10">
        <v>45689</v>
      </c>
      <c r="E267" s="9" t="s">
        <v>24</v>
      </c>
      <c r="F267" s="9" t="s">
        <v>16</v>
      </c>
      <c r="G267" s="21">
        <v>36832.33</v>
      </c>
      <c r="H267" s="21">
        <v>8001</v>
      </c>
      <c r="I267" s="21">
        <v>0</v>
      </c>
      <c r="J267" s="21">
        <v>19</v>
      </c>
      <c r="K267" s="21">
        <v>88.7</v>
      </c>
      <c r="L267" s="21">
        <v>3.39</v>
      </c>
      <c r="M267" s="21">
        <v>0</v>
      </c>
      <c r="N267" s="21">
        <v>4</v>
      </c>
      <c r="O267" s="21">
        <v>738548.42</v>
      </c>
      <c r="P267" s="21">
        <v>134282.76999999999</v>
      </c>
    </row>
    <row r="268" spans="1:16">
      <c r="A268" s="9" t="s">
        <v>91</v>
      </c>
      <c r="B268" s="9">
        <f t="shared" si="8"/>
        <v>2025</v>
      </c>
      <c r="C268" s="9">
        <f t="shared" si="9"/>
        <v>3</v>
      </c>
      <c r="D268" s="10">
        <v>45717</v>
      </c>
      <c r="E268" s="9" t="s">
        <v>24</v>
      </c>
      <c r="F268" s="9" t="s">
        <v>16</v>
      </c>
      <c r="G268" s="21">
        <v>48609.41</v>
      </c>
      <c r="H268" s="21">
        <v>9324</v>
      </c>
      <c r="I268" s="21">
        <v>0.21299999999999999</v>
      </c>
      <c r="J268" s="21">
        <v>18</v>
      </c>
      <c r="K268" s="21">
        <v>86.5</v>
      </c>
      <c r="L268" s="21">
        <v>1.44</v>
      </c>
      <c r="M268" s="21">
        <v>0</v>
      </c>
      <c r="N268" s="21">
        <v>3.9</v>
      </c>
      <c r="O268" s="21">
        <v>756619.77</v>
      </c>
      <c r="P268" s="21">
        <v>112057.69</v>
      </c>
    </row>
    <row r="269" spans="1:16">
      <c r="A269" s="9" t="s">
        <v>91</v>
      </c>
      <c r="B269" s="9">
        <f t="shared" si="8"/>
        <v>2025</v>
      </c>
      <c r="C269" s="9">
        <f t="shared" si="9"/>
        <v>4</v>
      </c>
      <c r="D269" s="10">
        <v>45748</v>
      </c>
      <c r="E269" s="9" t="s">
        <v>24</v>
      </c>
      <c r="F269" s="9" t="s">
        <v>16</v>
      </c>
      <c r="G269" s="21">
        <v>70284.06</v>
      </c>
      <c r="H269" s="21">
        <v>9109</v>
      </c>
      <c r="I269" s="21">
        <v>4.0000000000000001E-3</v>
      </c>
      <c r="J269" s="21">
        <v>23</v>
      </c>
      <c r="K269" s="21">
        <v>87</v>
      </c>
      <c r="L269" s="21">
        <v>3.65</v>
      </c>
      <c r="M269" s="21">
        <v>0</v>
      </c>
      <c r="N269" s="21">
        <v>3.7</v>
      </c>
      <c r="O269" s="21">
        <v>761122.42</v>
      </c>
      <c r="P269" s="21">
        <v>149802.04</v>
      </c>
    </row>
    <row r="270" spans="1:16">
      <c r="A270" s="9" t="s">
        <v>92</v>
      </c>
      <c r="B270" s="9">
        <f t="shared" si="8"/>
        <v>2025</v>
      </c>
      <c r="C270" s="9">
        <f t="shared" si="9"/>
        <v>1</v>
      </c>
      <c r="D270" s="10">
        <v>45658</v>
      </c>
      <c r="E270" s="9" t="s">
        <v>24</v>
      </c>
      <c r="F270" s="9" t="s">
        <v>18</v>
      </c>
      <c r="G270" s="21">
        <v>45940.39</v>
      </c>
      <c r="H270" s="21">
        <v>4022</v>
      </c>
      <c r="I270" s="21">
        <v>6.9000000000000006E-2</v>
      </c>
      <c r="J270" s="21">
        <v>10</v>
      </c>
      <c r="K270" s="21">
        <v>83</v>
      </c>
      <c r="L270" s="21">
        <v>1.23</v>
      </c>
      <c r="M270" s="21">
        <v>1</v>
      </c>
      <c r="N270" s="21">
        <v>3.8</v>
      </c>
      <c r="O270" s="21">
        <v>524899.56999999995</v>
      </c>
      <c r="P270" s="21">
        <v>63619.98</v>
      </c>
    </row>
    <row r="271" spans="1:16">
      <c r="A271" s="9" t="s">
        <v>92</v>
      </c>
      <c r="B271" s="9">
        <f t="shared" si="8"/>
        <v>2025</v>
      </c>
      <c r="C271" s="9">
        <f t="shared" si="9"/>
        <v>2</v>
      </c>
      <c r="D271" s="10">
        <v>45689</v>
      </c>
      <c r="E271" s="9" t="s">
        <v>24</v>
      </c>
      <c r="F271" s="9" t="s">
        <v>18</v>
      </c>
      <c r="G271" s="21">
        <v>34771.26</v>
      </c>
      <c r="H271" s="21">
        <v>4355</v>
      </c>
      <c r="I271" s="21">
        <v>5.0999999999999997E-2</v>
      </c>
      <c r="J271" s="21">
        <v>15</v>
      </c>
      <c r="K271" s="21">
        <v>87.9</v>
      </c>
      <c r="L271" s="21">
        <v>3.09</v>
      </c>
      <c r="M271" s="21">
        <v>0</v>
      </c>
      <c r="N271" s="21">
        <v>4</v>
      </c>
      <c r="O271" s="21">
        <v>555557.77</v>
      </c>
      <c r="P271" s="21">
        <v>86475.51</v>
      </c>
    </row>
    <row r="272" spans="1:16">
      <c r="A272" s="9" t="s">
        <v>92</v>
      </c>
      <c r="B272" s="9">
        <f t="shared" si="8"/>
        <v>2025</v>
      </c>
      <c r="C272" s="9">
        <f t="shared" si="9"/>
        <v>3</v>
      </c>
      <c r="D272" s="10">
        <v>45717</v>
      </c>
      <c r="E272" s="9" t="s">
        <v>24</v>
      </c>
      <c r="F272" s="9" t="s">
        <v>18</v>
      </c>
      <c r="G272" s="21">
        <v>66104.19</v>
      </c>
      <c r="H272" s="21">
        <v>5745</v>
      </c>
      <c r="I272" s="21">
        <v>7.0000000000000007E-2</v>
      </c>
      <c r="J272" s="21">
        <v>17</v>
      </c>
      <c r="K272" s="21">
        <v>95.8</v>
      </c>
      <c r="L272" s="21">
        <v>3.15</v>
      </c>
      <c r="M272" s="21">
        <v>0</v>
      </c>
      <c r="N272" s="21">
        <v>4</v>
      </c>
      <c r="O272" s="21">
        <v>714083.68</v>
      </c>
      <c r="P272" s="21">
        <v>127231.74</v>
      </c>
    </row>
    <row r="273" spans="1:16">
      <c r="A273" s="9" t="s">
        <v>92</v>
      </c>
      <c r="B273" s="9">
        <f t="shared" si="8"/>
        <v>2025</v>
      </c>
      <c r="C273" s="9">
        <f t="shared" si="9"/>
        <v>4</v>
      </c>
      <c r="D273" s="10">
        <v>45748</v>
      </c>
      <c r="E273" s="9" t="s">
        <v>24</v>
      </c>
      <c r="F273" s="9" t="s">
        <v>18</v>
      </c>
      <c r="G273" s="21">
        <v>18599.21</v>
      </c>
      <c r="H273" s="21">
        <v>3027</v>
      </c>
      <c r="I273" s="21">
        <v>0.122</v>
      </c>
      <c r="J273" s="21">
        <v>11</v>
      </c>
      <c r="K273" s="21">
        <v>80.900000000000006</v>
      </c>
      <c r="L273" s="21">
        <v>6.44</v>
      </c>
      <c r="M273" s="21">
        <v>0</v>
      </c>
      <c r="N273" s="21">
        <v>4.2</v>
      </c>
      <c r="O273" s="21">
        <v>497439.82</v>
      </c>
      <c r="P273" s="21">
        <v>93372.75</v>
      </c>
    </row>
    <row r="274" spans="1:16">
      <c r="A274" s="9" t="s">
        <v>93</v>
      </c>
      <c r="B274" s="9">
        <f t="shared" si="8"/>
        <v>2025</v>
      </c>
      <c r="C274" s="9">
        <f t="shared" si="9"/>
        <v>1</v>
      </c>
      <c r="D274" s="10">
        <v>45658</v>
      </c>
      <c r="E274" s="9" t="s">
        <v>27</v>
      </c>
      <c r="F274" s="9" t="s">
        <v>16</v>
      </c>
      <c r="G274" s="21">
        <v>60183.06</v>
      </c>
      <c r="H274" s="21">
        <v>5562</v>
      </c>
      <c r="I274" s="21">
        <v>8.9999999999999993E-3</v>
      </c>
      <c r="J274" s="21">
        <v>13</v>
      </c>
      <c r="K274" s="21">
        <v>86.3</v>
      </c>
      <c r="L274" s="21">
        <v>0.2</v>
      </c>
      <c r="M274" s="21">
        <v>1</v>
      </c>
      <c r="N274" s="21">
        <v>4.5</v>
      </c>
      <c r="O274" s="21">
        <v>636775.66</v>
      </c>
      <c r="P274" s="21">
        <v>122636.86</v>
      </c>
    </row>
    <row r="275" spans="1:16">
      <c r="A275" s="9" t="s">
        <v>93</v>
      </c>
      <c r="B275" s="9">
        <f t="shared" si="8"/>
        <v>2025</v>
      </c>
      <c r="C275" s="9">
        <f t="shared" si="9"/>
        <v>2</v>
      </c>
      <c r="D275" s="10">
        <v>45689</v>
      </c>
      <c r="E275" s="9" t="s">
        <v>27</v>
      </c>
      <c r="F275" s="9" t="s">
        <v>16</v>
      </c>
      <c r="G275" s="21">
        <v>74539.14</v>
      </c>
      <c r="H275" s="21">
        <v>4487</v>
      </c>
      <c r="I275" s="21">
        <v>0.14000000000000001</v>
      </c>
      <c r="J275" s="21">
        <v>10</v>
      </c>
      <c r="K275" s="21">
        <v>90.4</v>
      </c>
      <c r="L275" s="21">
        <v>0.59</v>
      </c>
      <c r="M275" s="21">
        <v>0</v>
      </c>
      <c r="N275" s="21">
        <v>4.5</v>
      </c>
      <c r="O275" s="21">
        <v>633009.53</v>
      </c>
      <c r="P275" s="21">
        <v>123782.67</v>
      </c>
    </row>
    <row r="276" spans="1:16">
      <c r="A276" s="9" t="s">
        <v>93</v>
      </c>
      <c r="B276" s="9">
        <f t="shared" si="8"/>
        <v>2025</v>
      </c>
      <c r="C276" s="9">
        <f t="shared" si="9"/>
        <v>3</v>
      </c>
      <c r="D276" s="10">
        <v>45717</v>
      </c>
      <c r="E276" s="9" t="s">
        <v>27</v>
      </c>
      <c r="F276" s="9" t="s">
        <v>16</v>
      </c>
      <c r="G276" s="21">
        <v>55371.97</v>
      </c>
      <c r="H276" s="21">
        <v>4162</v>
      </c>
      <c r="I276" s="21">
        <v>0.183</v>
      </c>
      <c r="J276" s="21">
        <v>11</v>
      </c>
      <c r="K276" s="21">
        <v>92</v>
      </c>
      <c r="L276" s="21">
        <v>0.2</v>
      </c>
      <c r="M276" s="21">
        <v>1</v>
      </c>
      <c r="N276" s="21">
        <v>4.2</v>
      </c>
      <c r="O276" s="21">
        <v>609949</v>
      </c>
      <c r="P276" s="21">
        <v>126789.25</v>
      </c>
    </row>
    <row r="277" spans="1:16">
      <c r="A277" s="9" t="s">
        <v>93</v>
      </c>
      <c r="B277" s="9">
        <f t="shared" si="8"/>
        <v>2025</v>
      </c>
      <c r="C277" s="9">
        <f t="shared" si="9"/>
        <v>4</v>
      </c>
      <c r="D277" s="10">
        <v>45748</v>
      </c>
      <c r="E277" s="9" t="s">
        <v>27</v>
      </c>
      <c r="F277" s="9" t="s">
        <v>16</v>
      </c>
      <c r="G277" s="21">
        <v>40928.69</v>
      </c>
      <c r="H277" s="21">
        <v>4094</v>
      </c>
      <c r="I277" s="21">
        <v>0.17399999999999999</v>
      </c>
      <c r="J277" s="21">
        <v>13</v>
      </c>
      <c r="K277" s="21">
        <v>82.4</v>
      </c>
      <c r="L277" s="21">
        <v>1.36</v>
      </c>
      <c r="M277" s="21">
        <v>0</v>
      </c>
      <c r="N277" s="21">
        <v>4.8</v>
      </c>
      <c r="O277" s="21">
        <v>548103.69999999995</v>
      </c>
      <c r="P277" s="21">
        <v>99905.52</v>
      </c>
    </row>
    <row r="278" spans="1:16">
      <c r="A278" s="9" t="s">
        <v>94</v>
      </c>
      <c r="B278" s="9">
        <f t="shared" si="8"/>
        <v>2025</v>
      </c>
      <c r="C278" s="9">
        <f t="shared" si="9"/>
        <v>1</v>
      </c>
      <c r="D278" s="10">
        <v>45658</v>
      </c>
      <c r="E278" s="9" t="s">
        <v>15</v>
      </c>
      <c r="F278" s="9" t="s">
        <v>16</v>
      </c>
      <c r="G278" s="21">
        <v>70012.41</v>
      </c>
      <c r="H278" s="21">
        <v>8484</v>
      </c>
      <c r="I278" s="21">
        <v>0.27300000000000002</v>
      </c>
      <c r="J278" s="21">
        <v>23</v>
      </c>
      <c r="K278" s="21">
        <v>72.900000000000006</v>
      </c>
      <c r="L278" s="21">
        <v>3.34</v>
      </c>
      <c r="M278" s="21">
        <v>0</v>
      </c>
      <c r="N278" s="21">
        <v>3.7</v>
      </c>
      <c r="O278" s="21">
        <v>729424.42</v>
      </c>
      <c r="P278" s="21">
        <v>75592.28</v>
      </c>
    </row>
    <row r="279" spans="1:16">
      <c r="A279" s="9" t="s">
        <v>94</v>
      </c>
      <c r="B279" s="9">
        <f t="shared" si="8"/>
        <v>2025</v>
      </c>
      <c r="C279" s="9">
        <f t="shared" si="9"/>
        <v>2</v>
      </c>
      <c r="D279" s="10">
        <v>45689</v>
      </c>
      <c r="E279" s="9" t="s">
        <v>15</v>
      </c>
      <c r="F279" s="9" t="s">
        <v>16</v>
      </c>
      <c r="G279" s="21">
        <v>68909.259999999995</v>
      </c>
      <c r="H279" s="21">
        <v>7794</v>
      </c>
      <c r="I279" s="21">
        <v>0.28399999999999997</v>
      </c>
      <c r="J279" s="21">
        <v>22</v>
      </c>
      <c r="K279" s="21">
        <v>89</v>
      </c>
      <c r="L279" s="21">
        <v>0.33</v>
      </c>
      <c r="M279" s="21">
        <v>0</v>
      </c>
      <c r="N279" s="21">
        <v>4</v>
      </c>
      <c r="O279" s="21">
        <v>696261.49</v>
      </c>
      <c r="P279" s="21">
        <v>72455.350000000006</v>
      </c>
    </row>
    <row r="280" spans="1:16">
      <c r="A280" s="9" t="s">
        <v>94</v>
      </c>
      <c r="B280" s="9">
        <f t="shared" si="8"/>
        <v>2025</v>
      </c>
      <c r="C280" s="9">
        <f t="shared" si="9"/>
        <v>3</v>
      </c>
      <c r="D280" s="10">
        <v>45717</v>
      </c>
      <c r="E280" s="9" t="s">
        <v>15</v>
      </c>
      <c r="F280" s="9" t="s">
        <v>16</v>
      </c>
      <c r="G280" s="21">
        <v>56737.3</v>
      </c>
      <c r="H280" s="21">
        <v>8300</v>
      </c>
      <c r="I280" s="21">
        <v>3.2000000000000001E-2</v>
      </c>
      <c r="J280" s="21">
        <v>21</v>
      </c>
      <c r="K280" s="21">
        <v>83.2</v>
      </c>
      <c r="L280" s="21">
        <v>3.44</v>
      </c>
      <c r="M280" s="21">
        <v>1</v>
      </c>
      <c r="N280" s="21">
        <v>4.3</v>
      </c>
      <c r="O280" s="21">
        <v>813316.71</v>
      </c>
      <c r="P280" s="21">
        <v>110077.42</v>
      </c>
    </row>
    <row r="281" spans="1:16">
      <c r="A281" s="9" t="s">
        <v>94</v>
      </c>
      <c r="B281" s="9">
        <f t="shared" si="8"/>
        <v>2025</v>
      </c>
      <c r="C281" s="9">
        <f t="shared" si="9"/>
        <v>4</v>
      </c>
      <c r="D281" s="10">
        <v>45748</v>
      </c>
      <c r="E281" s="9" t="s">
        <v>15</v>
      </c>
      <c r="F281" s="9" t="s">
        <v>16</v>
      </c>
      <c r="G281" s="21">
        <v>54080.91</v>
      </c>
      <c r="H281" s="21">
        <v>7083</v>
      </c>
      <c r="I281" s="21">
        <v>0</v>
      </c>
      <c r="J281" s="21">
        <v>15</v>
      </c>
      <c r="K281" s="21">
        <v>97</v>
      </c>
      <c r="L281" s="21">
        <v>5.33</v>
      </c>
      <c r="M281" s="21">
        <v>0</v>
      </c>
      <c r="N281" s="21">
        <v>4.0999999999999996</v>
      </c>
      <c r="O281" s="21">
        <v>702068.92</v>
      </c>
      <c r="P281" s="21">
        <v>111266.63</v>
      </c>
    </row>
    <row r="282" spans="1:16">
      <c r="A282" s="9" t="s">
        <v>95</v>
      </c>
      <c r="B282" s="9">
        <f t="shared" si="8"/>
        <v>2025</v>
      </c>
      <c r="C282" s="9">
        <f t="shared" si="9"/>
        <v>1</v>
      </c>
      <c r="D282" s="10">
        <v>45658</v>
      </c>
      <c r="E282" s="9" t="s">
        <v>27</v>
      </c>
      <c r="F282" s="9" t="s">
        <v>18</v>
      </c>
      <c r="G282" s="21">
        <v>51996.32</v>
      </c>
      <c r="H282" s="21">
        <v>3834</v>
      </c>
      <c r="I282" s="21">
        <v>9.6000000000000002E-2</v>
      </c>
      <c r="J282" s="21">
        <v>8</v>
      </c>
      <c r="K282" s="21">
        <v>86.7</v>
      </c>
      <c r="L282" s="21">
        <v>6.04</v>
      </c>
      <c r="M282" s="21">
        <v>0</v>
      </c>
      <c r="N282" s="21">
        <v>4.5</v>
      </c>
      <c r="O282" s="21">
        <v>546223.69999999995</v>
      </c>
      <c r="P282" s="21">
        <v>100769.17</v>
      </c>
    </row>
    <row r="283" spans="1:16">
      <c r="A283" s="9" t="s">
        <v>95</v>
      </c>
      <c r="B283" s="9">
        <f t="shared" si="8"/>
        <v>2025</v>
      </c>
      <c r="C283" s="9">
        <f t="shared" si="9"/>
        <v>2</v>
      </c>
      <c r="D283" s="10">
        <v>45689</v>
      </c>
      <c r="E283" s="9" t="s">
        <v>27</v>
      </c>
      <c r="F283" s="9" t="s">
        <v>18</v>
      </c>
      <c r="G283" s="21">
        <v>40102.879999999997</v>
      </c>
      <c r="H283" s="21">
        <v>2358</v>
      </c>
      <c r="I283" s="21">
        <v>0.11899999999999999</v>
      </c>
      <c r="J283" s="21">
        <v>9</v>
      </c>
      <c r="K283" s="21">
        <v>88.7</v>
      </c>
      <c r="L283" s="21">
        <v>1.6</v>
      </c>
      <c r="M283" s="21">
        <v>0</v>
      </c>
      <c r="N283" s="21">
        <v>4.2</v>
      </c>
      <c r="O283" s="21">
        <v>533121.26</v>
      </c>
      <c r="P283" s="21">
        <v>55063.39</v>
      </c>
    </row>
    <row r="284" spans="1:16">
      <c r="A284" s="9" t="s">
        <v>95</v>
      </c>
      <c r="B284" s="9">
        <f t="shared" si="8"/>
        <v>2025</v>
      </c>
      <c r="C284" s="9">
        <f t="shared" si="9"/>
        <v>3</v>
      </c>
      <c r="D284" s="10">
        <v>45717</v>
      </c>
      <c r="E284" s="9" t="s">
        <v>27</v>
      </c>
      <c r="F284" s="9" t="s">
        <v>18</v>
      </c>
      <c r="G284" s="21">
        <v>59825.51</v>
      </c>
      <c r="H284" s="21">
        <v>1231</v>
      </c>
      <c r="I284" s="21">
        <v>0.214</v>
      </c>
      <c r="J284" s="21">
        <v>10</v>
      </c>
      <c r="K284" s="21">
        <v>84.8</v>
      </c>
      <c r="L284" s="21">
        <v>8.9600000000000009</v>
      </c>
      <c r="M284" s="21">
        <v>0</v>
      </c>
      <c r="N284" s="21">
        <v>4.7</v>
      </c>
      <c r="O284" s="21">
        <v>498970.32</v>
      </c>
      <c r="P284" s="21">
        <v>69656.7</v>
      </c>
    </row>
    <row r="285" spans="1:16">
      <c r="A285" s="9" t="s">
        <v>95</v>
      </c>
      <c r="B285" s="9">
        <f t="shared" si="8"/>
        <v>2025</v>
      </c>
      <c r="C285" s="9">
        <f t="shared" si="9"/>
        <v>4</v>
      </c>
      <c r="D285" s="10">
        <v>45748</v>
      </c>
      <c r="E285" s="9" t="s">
        <v>27</v>
      </c>
      <c r="F285" s="9" t="s">
        <v>18</v>
      </c>
      <c r="G285" s="21">
        <v>27398.28</v>
      </c>
      <c r="H285" s="21">
        <v>1723</v>
      </c>
      <c r="I285" s="21">
        <v>0.17100000000000001</v>
      </c>
      <c r="J285" s="21">
        <v>9</v>
      </c>
      <c r="K285" s="21">
        <v>81</v>
      </c>
      <c r="L285" s="21">
        <v>0.74</v>
      </c>
      <c r="M285" s="21">
        <v>0</v>
      </c>
      <c r="N285" s="21">
        <v>4.5999999999999996</v>
      </c>
      <c r="O285" s="21">
        <v>487738.26</v>
      </c>
      <c r="P285" s="21">
        <v>96435.6</v>
      </c>
    </row>
    <row r="286" spans="1:16">
      <c r="A286" s="9" t="s">
        <v>96</v>
      </c>
      <c r="B286" s="9">
        <f t="shared" si="8"/>
        <v>2025</v>
      </c>
      <c r="C286" s="9">
        <f t="shared" si="9"/>
        <v>1</v>
      </c>
      <c r="D286" s="10">
        <v>45658</v>
      </c>
      <c r="E286" s="9" t="s">
        <v>27</v>
      </c>
      <c r="F286" s="9" t="s">
        <v>18</v>
      </c>
      <c r="G286" s="21">
        <v>55599.56</v>
      </c>
      <c r="H286" s="21">
        <v>5896</v>
      </c>
      <c r="I286" s="21">
        <v>3.5999999999999997E-2</v>
      </c>
      <c r="J286" s="21">
        <v>12</v>
      </c>
      <c r="K286" s="21">
        <v>93.1</v>
      </c>
      <c r="L286" s="21">
        <v>6.13</v>
      </c>
      <c r="M286" s="21">
        <v>0</v>
      </c>
      <c r="N286" s="21">
        <v>3.3</v>
      </c>
      <c r="O286" s="21">
        <v>668459.37</v>
      </c>
      <c r="P286" s="21">
        <v>126435.42</v>
      </c>
    </row>
    <row r="287" spans="1:16">
      <c r="A287" s="9" t="s">
        <v>96</v>
      </c>
      <c r="B287" s="9">
        <f t="shared" si="8"/>
        <v>2025</v>
      </c>
      <c r="C287" s="9">
        <f t="shared" si="9"/>
        <v>2</v>
      </c>
      <c r="D287" s="10">
        <v>45689</v>
      </c>
      <c r="E287" s="9" t="s">
        <v>27</v>
      </c>
      <c r="F287" s="9" t="s">
        <v>18</v>
      </c>
      <c r="G287" s="21">
        <v>55477.61</v>
      </c>
      <c r="H287" s="21">
        <v>5903</v>
      </c>
      <c r="I287" s="21">
        <v>0.10199999999999999</v>
      </c>
      <c r="J287" s="21">
        <v>14</v>
      </c>
      <c r="K287" s="21">
        <v>96.2</v>
      </c>
      <c r="L287" s="21">
        <v>1.41</v>
      </c>
      <c r="M287" s="21">
        <v>0</v>
      </c>
      <c r="N287" s="21">
        <v>3.3</v>
      </c>
      <c r="O287" s="21">
        <v>763162.45</v>
      </c>
      <c r="P287" s="21">
        <v>162524.04999999999</v>
      </c>
    </row>
    <row r="288" spans="1:16">
      <c r="A288" s="9" t="s">
        <v>96</v>
      </c>
      <c r="B288" s="9">
        <f t="shared" si="8"/>
        <v>2025</v>
      </c>
      <c r="C288" s="9">
        <f t="shared" si="9"/>
        <v>3</v>
      </c>
      <c r="D288" s="10">
        <v>45717</v>
      </c>
      <c r="E288" s="9" t="s">
        <v>27</v>
      </c>
      <c r="F288" s="9" t="s">
        <v>18</v>
      </c>
      <c r="G288" s="21">
        <v>46174.7</v>
      </c>
      <c r="H288" s="21">
        <v>4898</v>
      </c>
      <c r="I288" s="21">
        <v>0.114</v>
      </c>
      <c r="J288" s="21">
        <v>11</v>
      </c>
      <c r="K288" s="21">
        <v>91.7</v>
      </c>
      <c r="L288" s="21">
        <v>3.75</v>
      </c>
      <c r="M288" s="21">
        <v>0</v>
      </c>
      <c r="N288" s="21">
        <v>3.1</v>
      </c>
      <c r="O288" s="21">
        <v>599017.32999999996</v>
      </c>
      <c r="P288" s="21">
        <v>134009.92000000001</v>
      </c>
    </row>
    <row r="289" spans="1:16">
      <c r="A289" s="9" t="s">
        <v>96</v>
      </c>
      <c r="B289" s="9">
        <f t="shared" si="8"/>
        <v>2025</v>
      </c>
      <c r="C289" s="9">
        <f t="shared" si="9"/>
        <v>4</v>
      </c>
      <c r="D289" s="10">
        <v>45748</v>
      </c>
      <c r="E289" s="9" t="s">
        <v>27</v>
      </c>
      <c r="F289" s="9" t="s">
        <v>18</v>
      </c>
      <c r="G289" s="21">
        <v>24362.98</v>
      </c>
      <c r="H289" s="21">
        <v>1462</v>
      </c>
      <c r="I289" s="21">
        <v>0.11700000000000001</v>
      </c>
      <c r="J289" s="21">
        <v>6</v>
      </c>
      <c r="K289" s="21">
        <v>89.3</v>
      </c>
      <c r="L289" s="21">
        <v>15.06</v>
      </c>
      <c r="M289" s="21">
        <v>0</v>
      </c>
      <c r="N289" s="21">
        <v>3.2</v>
      </c>
      <c r="O289" s="21">
        <v>401582.58</v>
      </c>
      <c r="P289" s="21">
        <v>68454.929999999993</v>
      </c>
    </row>
    <row r="290" spans="1:16">
      <c r="A290" s="9" t="s">
        <v>97</v>
      </c>
      <c r="B290" s="9">
        <f t="shared" si="8"/>
        <v>2025</v>
      </c>
      <c r="C290" s="9">
        <f t="shared" si="9"/>
        <v>1</v>
      </c>
      <c r="D290" s="10">
        <v>45658</v>
      </c>
      <c r="E290" s="9" t="s">
        <v>20</v>
      </c>
      <c r="F290" s="9" t="s">
        <v>28</v>
      </c>
      <c r="G290" s="21">
        <v>40647.67</v>
      </c>
      <c r="H290" s="21">
        <v>8252</v>
      </c>
      <c r="I290" s="21">
        <v>0.14099999999999999</v>
      </c>
      <c r="J290" s="21">
        <v>22</v>
      </c>
      <c r="K290" s="21">
        <v>88.2</v>
      </c>
      <c r="L290" s="21">
        <v>5.07</v>
      </c>
      <c r="M290" s="21">
        <v>1</v>
      </c>
      <c r="N290" s="21">
        <v>4.0999999999999996</v>
      </c>
      <c r="O290" s="21">
        <v>703812.99</v>
      </c>
      <c r="P290" s="21">
        <v>133577.98000000001</v>
      </c>
    </row>
    <row r="291" spans="1:16">
      <c r="A291" s="9" t="s">
        <v>97</v>
      </c>
      <c r="B291" s="9">
        <f t="shared" si="8"/>
        <v>2025</v>
      </c>
      <c r="C291" s="9">
        <f t="shared" si="9"/>
        <v>2</v>
      </c>
      <c r="D291" s="10">
        <v>45689</v>
      </c>
      <c r="E291" s="9" t="s">
        <v>20</v>
      </c>
      <c r="F291" s="9" t="s">
        <v>28</v>
      </c>
      <c r="G291" s="21">
        <v>63986.98</v>
      </c>
      <c r="H291" s="21">
        <v>7989</v>
      </c>
      <c r="I291" s="21">
        <v>7.3999999999999996E-2</v>
      </c>
      <c r="J291" s="21">
        <v>20</v>
      </c>
      <c r="K291" s="21">
        <v>83.3</v>
      </c>
      <c r="L291" s="21">
        <v>3.6</v>
      </c>
      <c r="M291" s="21">
        <v>0</v>
      </c>
      <c r="N291" s="21">
        <v>3.7</v>
      </c>
      <c r="O291" s="21">
        <v>724346.73</v>
      </c>
      <c r="P291" s="21">
        <v>155013.91</v>
      </c>
    </row>
    <row r="292" spans="1:16">
      <c r="A292" s="9" t="s">
        <v>97</v>
      </c>
      <c r="B292" s="9">
        <f t="shared" si="8"/>
        <v>2025</v>
      </c>
      <c r="C292" s="9">
        <f t="shared" si="9"/>
        <v>3</v>
      </c>
      <c r="D292" s="10">
        <v>45717</v>
      </c>
      <c r="E292" s="9" t="s">
        <v>20</v>
      </c>
      <c r="F292" s="9" t="s">
        <v>28</v>
      </c>
      <c r="G292" s="21">
        <v>52843.75</v>
      </c>
      <c r="H292" s="21">
        <v>8268</v>
      </c>
      <c r="I292" s="21">
        <v>0.13800000000000001</v>
      </c>
      <c r="J292" s="21">
        <v>19</v>
      </c>
      <c r="K292" s="21">
        <v>87.3</v>
      </c>
      <c r="L292" s="21">
        <v>4.3899999999999997</v>
      </c>
      <c r="M292" s="21">
        <v>1</v>
      </c>
      <c r="N292" s="21">
        <v>4.7</v>
      </c>
      <c r="O292" s="21">
        <v>730890.01</v>
      </c>
      <c r="P292" s="21">
        <v>105502.56</v>
      </c>
    </row>
    <row r="293" spans="1:16">
      <c r="A293" s="9" t="s">
        <v>97</v>
      </c>
      <c r="B293" s="9">
        <f t="shared" si="8"/>
        <v>2025</v>
      </c>
      <c r="C293" s="9">
        <f t="shared" si="9"/>
        <v>4</v>
      </c>
      <c r="D293" s="10">
        <v>45748</v>
      </c>
      <c r="E293" s="9" t="s">
        <v>20</v>
      </c>
      <c r="F293" s="9" t="s">
        <v>28</v>
      </c>
      <c r="G293" s="21">
        <v>31997.25</v>
      </c>
      <c r="H293" s="21">
        <v>8183</v>
      </c>
      <c r="I293" s="21">
        <v>0.19800000000000001</v>
      </c>
      <c r="J293" s="21">
        <v>18</v>
      </c>
      <c r="K293" s="21">
        <v>93</v>
      </c>
      <c r="L293" s="21">
        <v>2.79</v>
      </c>
      <c r="M293" s="21">
        <v>0</v>
      </c>
      <c r="N293" s="21">
        <v>4.2</v>
      </c>
      <c r="O293" s="21">
        <v>780580.95</v>
      </c>
      <c r="P293" s="21">
        <v>138144.46</v>
      </c>
    </row>
    <row r="294" spans="1:16">
      <c r="A294" s="9" t="s">
        <v>98</v>
      </c>
      <c r="B294" s="9">
        <f t="shared" si="8"/>
        <v>2025</v>
      </c>
      <c r="C294" s="9">
        <f t="shared" si="9"/>
        <v>1</v>
      </c>
      <c r="D294" s="10">
        <v>45658</v>
      </c>
      <c r="E294" s="9" t="s">
        <v>24</v>
      </c>
      <c r="F294" s="9" t="s">
        <v>16</v>
      </c>
      <c r="G294" s="21">
        <v>54948.02</v>
      </c>
      <c r="H294" s="21">
        <v>6534</v>
      </c>
      <c r="I294" s="21">
        <v>0.183</v>
      </c>
      <c r="J294" s="21">
        <v>14</v>
      </c>
      <c r="K294" s="21">
        <v>94.5</v>
      </c>
      <c r="L294" s="21">
        <v>1.56</v>
      </c>
      <c r="M294" s="21">
        <v>0</v>
      </c>
      <c r="N294" s="21">
        <v>4</v>
      </c>
      <c r="O294" s="21">
        <v>727957.48</v>
      </c>
      <c r="P294" s="21">
        <v>74805.23</v>
      </c>
    </row>
    <row r="295" spans="1:16">
      <c r="A295" s="9" t="s">
        <v>98</v>
      </c>
      <c r="B295" s="9">
        <f t="shared" si="8"/>
        <v>2025</v>
      </c>
      <c r="C295" s="9">
        <f t="shared" si="9"/>
        <v>2</v>
      </c>
      <c r="D295" s="10">
        <v>45689</v>
      </c>
      <c r="E295" s="9" t="s">
        <v>24</v>
      </c>
      <c r="F295" s="9" t="s">
        <v>16</v>
      </c>
      <c r="G295" s="21">
        <v>46146.239999999998</v>
      </c>
      <c r="H295" s="21">
        <v>5804</v>
      </c>
      <c r="I295" s="21">
        <v>4.7E-2</v>
      </c>
      <c r="J295" s="21">
        <v>16</v>
      </c>
      <c r="K295" s="21">
        <v>86.9</v>
      </c>
      <c r="L295" s="21">
        <v>15.82</v>
      </c>
      <c r="M295" s="21">
        <v>0</v>
      </c>
      <c r="N295" s="21">
        <v>3.8</v>
      </c>
      <c r="O295" s="21">
        <v>538376</v>
      </c>
      <c r="P295" s="21">
        <v>87605.62</v>
      </c>
    </row>
    <row r="296" spans="1:16">
      <c r="A296" s="9" t="s">
        <v>98</v>
      </c>
      <c r="B296" s="9">
        <f t="shared" si="8"/>
        <v>2025</v>
      </c>
      <c r="C296" s="9">
        <f t="shared" si="9"/>
        <v>3</v>
      </c>
      <c r="D296" s="10">
        <v>45717</v>
      </c>
      <c r="E296" s="9" t="s">
        <v>24</v>
      </c>
      <c r="F296" s="9" t="s">
        <v>16</v>
      </c>
      <c r="G296" s="21">
        <v>22387.26</v>
      </c>
      <c r="H296" s="21">
        <v>6301</v>
      </c>
      <c r="I296" s="21">
        <v>0.14599999999999999</v>
      </c>
      <c r="J296" s="21">
        <v>14</v>
      </c>
      <c r="K296" s="21">
        <v>85.9</v>
      </c>
      <c r="L296" s="21">
        <v>1.17</v>
      </c>
      <c r="M296" s="21">
        <v>1</v>
      </c>
      <c r="N296" s="21">
        <v>3.7</v>
      </c>
      <c r="O296" s="21">
        <v>665342.49</v>
      </c>
      <c r="P296" s="21">
        <v>93441.81</v>
      </c>
    </row>
    <row r="297" spans="1:16">
      <c r="A297" s="9" t="s">
        <v>98</v>
      </c>
      <c r="B297" s="9">
        <f t="shared" si="8"/>
        <v>2025</v>
      </c>
      <c r="C297" s="9">
        <f t="shared" si="9"/>
        <v>4</v>
      </c>
      <c r="D297" s="10">
        <v>45748</v>
      </c>
      <c r="E297" s="9" t="s">
        <v>24</v>
      </c>
      <c r="F297" s="9" t="s">
        <v>16</v>
      </c>
      <c r="G297" s="21">
        <v>60684.05</v>
      </c>
      <c r="H297" s="21">
        <v>6399</v>
      </c>
      <c r="I297" s="21">
        <v>7.4999999999999997E-2</v>
      </c>
      <c r="J297" s="21">
        <v>16</v>
      </c>
      <c r="K297" s="21">
        <v>99</v>
      </c>
      <c r="L297" s="21">
        <v>3.82</v>
      </c>
      <c r="M297" s="21">
        <v>0</v>
      </c>
      <c r="N297" s="21">
        <v>3.5</v>
      </c>
      <c r="O297" s="21">
        <v>651164.18000000005</v>
      </c>
      <c r="P297" s="21">
        <v>109466.5</v>
      </c>
    </row>
    <row r="298" spans="1:16">
      <c r="A298" s="9" t="s">
        <v>99</v>
      </c>
      <c r="B298" s="9">
        <f t="shared" si="8"/>
        <v>2025</v>
      </c>
      <c r="C298" s="9">
        <f t="shared" si="9"/>
        <v>1</v>
      </c>
      <c r="D298" s="10">
        <v>45658</v>
      </c>
      <c r="E298" s="9" t="s">
        <v>24</v>
      </c>
      <c r="F298" s="9" t="s">
        <v>18</v>
      </c>
      <c r="G298" s="21">
        <v>48465.599999999999</v>
      </c>
      <c r="H298" s="21">
        <v>5759</v>
      </c>
      <c r="I298" s="21">
        <v>0.154</v>
      </c>
      <c r="J298" s="21">
        <v>13</v>
      </c>
      <c r="K298" s="21">
        <v>87.5</v>
      </c>
      <c r="L298" s="21">
        <v>4.1399999999999997</v>
      </c>
      <c r="M298" s="21">
        <v>0</v>
      </c>
      <c r="N298" s="21">
        <v>4</v>
      </c>
      <c r="O298" s="21">
        <v>628538.30000000005</v>
      </c>
      <c r="P298" s="21">
        <v>112509.15</v>
      </c>
    </row>
    <row r="299" spans="1:16">
      <c r="A299" s="9" t="s">
        <v>99</v>
      </c>
      <c r="B299" s="9">
        <f t="shared" si="8"/>
        <v>2025</v>
      </c>
      <c r="C299" s="9">
        <f t="shared" si="9"/>
        <v>2</v>
      </c>
      <c r="D299" s="10">
        <v>45689</v>
      </c>
      <c r="E299" s="9" t="s">
        <v>24</v>
      </c>
      <c r="F299" s="9" t="s">
        <v>18</v>
      </c>
      <c r="G299" s="21">
        <v>23702.38</v>
      </c>
      <c r="H299" s="21">
        <v>5285</v>
      </c>
      <c r="I299" s="21">
        <v>0.16700000000000001</v>
      </c>
      <c r="J299" s="21">
        <v>14</v>
      </c>
      <c r="K299" s="21">
        <v>79.7</v>
      </c>
      <c r="L299" s="21">
        <v>1.1000000000000001</v>
      </c>
      <c r="M299" s="21">
        <v>0</v>
      </c>
      <c r="N299" s="21">
        <v>4.3</v>
      </c>
      <c r="O299" s="21">
        <v>536524.84</v>
      </c>
      <c r="P299" s="21">
        <v>92752.94</v>
      </c>
    </row>
    <row r="300" spans="1:16">
      <c r="A300" s="9" t="s">
        <v>99</v>
      </c>
      <c r="B300" s="9">
        <f t="shared" si="8"/>
        <v>2025</v>
      </c>
      <c r="C300" s="9">
        <f t="shared" si="9"/>
        <v>3</v>
      </c>
      <c r="D300" s="10">
        <v>45717</v>
      </c>
      <c r="E300" s="9" t="s">
        <v>24</v>
      </c>
      <c r="F300" s="9" t="s">
        <v>18</v>
      </c>
      <c r="G300" s="21">
        <v>54322.94</v>
      </c>
      <c r="H300" s="21">
        <v>5434</v>
      </c>
      <c r="I300" s="21">
        <v>0.2</v>
      </c>
      <c r="J300" s="21">
        <v>13</v>
      </c>
      <c r="K300" s="21">
        <v>85.7</v>
      </c>
      <c r="L300" s="21">
        <v>10.6</v>
      </c>
      <c r="M300" s="21">
        <v>0</v>
      </c>
      <c r="N300" s="21">
        <v>4.2</v>
      </c>
      <c r="O300" s="21">
        <v>621677.30000000005</v>
      </c>
      <c r="P300" s="21">
        <v>105192.52</v>
      </c>
    </row>
    <row r="301" spans="1:16">
      <c r="A301" s="9" t="s">
        <v>100</v>
      </c>
      <c r="B301" s="9">
        <f t="shared" si="8"/>
        <v>2025</v>
      </c>
      <c r="C301" s="9">
        <f t="shared" si="9"/>
        <v>1</v>
      </c>
      <c r="D301" s="10">
        <v>45658</v>
      </c>
      <c r="E301" s="9" t="s">
        <v>20</v>
      </c>
      <c r="F301" s="9" t="s">
        <v>16</v>
      </c>
      <c r="G301" s="21">
        <v>78967.520000000004</v>
      </c>
      <c r="H301" s="21">
        <v>6164</v>
      </c>
      <c r="I301" s="21">
        <v>2.1000000000000001E-2</v>
      </c>
      <c r="J301" s="21">
        <v>16</v>
      </c>
      <c r="K301" s="21">
        <v>85.5</v>
      </c>
      <c r="L301" s="21">
        <v>0.2</v>
      </c>
      <c r="M301" s="21">
        <v>0</v>
      </c>
      <c r="N301" s="21">
        <v>3.4</v>
      </c>
      <c r="O301" s="21">
        <v>702052.47</v>
      </c>
      <c r="P301" s="21">
        <v>121732.51</v>
      </c>
    </row>
    <row r="302" spans="1:16">
      <c r="A302" s="9" t="s">
        <v>100</v>
      </c>
      <c r="B302" s="9">
        <f t="shared" si="8"/>
        <v>2025</v>
      </c>
      <c r="C302" s="9">
        <f t="shared" si="9"/>
        <v>3</v>
      </c>
      <c r="D302" s="10">
        <v>45717</v>
      </c>
      <c r="E302" s="9" t="s">
        <v>20</v>
      </c>
      <c r="F302" s="9" t="s">
        <v>16</v>
      </c>
      <c r="G302" s="21">
        <v>62507.16</v>
      </c>
      <c r="H302" s="21">
        <v>6000</v>
      </c>
      <c r="I302" s="21">
        <v>9.0999999999999998E-2</v>
      </c>
      <c r="J302" s="21">
        <v>14</v>
      </c>
      <c r="K302" s="21">
        <v>98.2</v>
      </c>
      <c r="L302" s="21">
        <v>4.38</v>
      </c>
      <c r="M302" s="21">
        <v>1</v>
      </c>
      <c r="N302" s="21">
        <v>3.9</v>
      </c>
      <c r="O302" s="21">
        <v>712375.77</v>
      </c>
      <c r="P302" s="21">
        <v>104171.53</v>
      </c>
    </row>
    <row r="303" spans="1:16">
      <c r="A303" s="9" t="s">
        <v>100</v>
      </c>
      <c r="B303" s="9">
        <f t="shared" si="8"/>
        <v>2025</v>
      </c>
      <c r="C303" s="9">
        <f t="shared" si="9"/>
        <v>4</v>
      </c>
      <c r="D303" s="10">
        <v>45748</v>
      </c>
      <c r="E303" s="9" t="s">
        <v>20</v>
      </c>
      <c r="F303" s="9" t="s">
        <v>16</v>
      </c>
      <c r="G303" s="21">
        <v>66456.28</v>
      </c>
      <c r="H303" s="21">
        <v>9967</v>
      </c>
      <c r="I303" s="21">
        <v>0.108</v>
      </c>
      <c r="J303" s="21">
        <v>20</v>
      </c>
      <c r="K303" s="21">
        <v>94.7</v>
      </c>
      <c r="L303" s="21">
        <v>4.4800000000000004</v>
      </c>
      <c r="M303" s="21">
        <v>0</v>
      </c>
      <c r="N303" s="21">
        <v>4.2</v>
      </c>
      <c r="O303" s="21">
        <v>844710.67</v>
      </c>
      <c r="P303" s="21">
        <v>137140.18</v>
      </c>
    </row>
    <row r="304" spans="1:16">
      <c r="A304" s="9" t="s">
        <v>101</v>
      </c>
      <c r="B304" s="9">
        <f t="shared" si="8"/>
        <v>2025</v>
      </c>
      <c r="C304" s="9">
        <f t="shared" si="9"/>
        <v>1</v>
      </c>
      <c r="D304" s="10">
        <v>45658</v>
      </c>
      <c r="E304" s="9" t="s">
        <v>15</v>
      </c>
      <c r="F304" s="9" t="s">
        <v>16</v>
      </c>
      <c r="G304" s="21">
        <v>76614.320000000007</v>
      </c>
      <c r="H304" s="21">
        <v>5639</v>
      </c>
      <c r="I304" s="21">
        <v>0.17399999999999999</v>
      </c>
      <c r="J304" s="21">
        <v>15</v>
      </c>
      <c r="K304" s="21">
        <v>92.9</v>
      </c>
      <c r="L304" s="21">
        <v>1.02</v>
      </c>
      <c r="M304" s="21">
        <v>1</v>
      </c>
      <c r="N304" s="21">
        <v>4</v>
      </c>
      <c r="O304" s="21">
        <v>620264.19999999995</v>
      </c>
      <c r="P304" s="21">
        <v>91365.64</v>
      </c>
    </row>
    <row r="305" spans="1:16">
      <c r="A305" s="9" t="s">
        <v>101</v>
      </c>
      <c r="B305" s="9">
        <f t="shared" si="8"/>
        <v>2025</v>
      </c>
      <c r="C305" s="9">
        <f t="shared" si="9"/>
        <v>2</v>
      </c>
      <c r="D305" s="10">
        <v>45689</v>
      </c>
      <c r="E305" s="9" t="s">
        <v>15</v>
      </c>
      <c r="F305" s="9" t="s">
        <v>16</v>
      </c>
      <c r="G305" s="21">
        <v>24088.06</v>
      </c>
      <c r="H305" s="21">
        <v>3466</v>
      </c>
      <c r="I305" s="21">
        <v>0</v>
      </c>
      <c r="J305" s="21">
        <v>11</v>
      </c>
      <c r="K305" s="21">
        <v>88</v>
      </c>
      <c r="L305" s="21">
        <v>0.2</v>
      </c>
      <c r="M305" s="21">
        <v>0</v>
      </c>
      <c r="N305" s="21">
        <v>3.8</v>
      </c>
      <c r="O305" s="21">
        <v>536845.42000000004</v>
      </c>
      <c r="P305" s="21">
        <v>107473.75</v>
      </c>
    </row>
    <row r="306" spans="1:16">
      <c r="A306" s="9" t="s">
        <v>101</v>
      </c>
      <c r="B306" s="9">
        <f t="shared" si="8"/>
        <v>2025</v>
      </c>
      <c r="C306" s="9">
        <f t="shared" si="9"/>
        <v>3</v>
      </c>
      <c r="D306" s="10">
        <v>45717</v>
      </c>
      <c r="E306" s="9" t="s">
        <v>15</v>
      </c>
      <c r="F306" s="9" t="s">
        <v>16</v>
      </c>
      <c r="G306" s="21">
        <v>81902.58</v>
      </c>
      <c r="H306" s="21">
        <v>7775</v>
      </c>
      <c r="I306" s="21">
        <v>0.215</v>
      </c>
      <c r="J306" s="21">
        <v>20</v>
      </c>
      <c r="K306" s="21">
        <v>85.2</v>
      </c>
      <c r="L306" s="21">
        <v>4.8899999999999997</v>
      </c>
      <c r="M306" s="21">
        <v>1</v>
      </c>
      <c r="N306" s="21">
        <v>4.2</v>
      </c>
      <c r="O306" s="21">
        <v>726776.22</v>
      </c>
      <c r="P306" s="21">
        <v>90804.49</v>
      </c>
    </row>
    <row r="307" spans="1:16">
      <c r="A307" s="9" t="s">
        <v>101</v>
      </c>
      <c r="B307" s="9">
        <f t="shared" si="8"/>
        <v>2025</v>
      </c>
      <c r="C307" s="9">
        <f t="shared" si="9"/>
        <v>4</v>
      </c>
      <c r="D307" s="10">
        <v>45748</v>
      </c>
      <c r="E307" s="9" t="s">
        <v>15</v>
      </c>
      <c r="F307" s="9" t="s">
        <v>16</v>
      </c>
      <c r="G307" s="21">
        <v>40553.11</v>
      </c>
      <c r="H307" s="21">
        <v>5317</v>
      </c>
      <c r="I307" s="21">
        <v>0.16500000000000001</v>
      </c>
      <c r="J307" s="21">
        <v>17</v>
      </c>
      <c r="K307" s="21">
        <v>84.3</v>
      </c>
      <c r="L307" s="21">
        <v>11.82</v>
      </c>
      <c r="M307" s="21">
        <v>0</v>
      </c>
      <c r="N307" s="21">
        <v>4.0999999999999996</v>
      </c>
      <c r="O307" s="21">
        <v>559660.84</v>
      </c>
      <c r="P307" s="21">
        <v>71443.61</v>
      </c>
    </row>
  </sheetData>
  <autoFilter ref="A1:P307" xr:uid="{33BC0D88-C33D-4038-B579-3D1C49768543}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8282-3A4C-4338-96D2-C25E6DBDA219}">
  <dimension ref="B2:K6"/>
  <sheetViews>
    <sheetView workbookViewId="0">
      <selection activeCell="E7" sqref="E7"/>
    </sheetView>
  </sheetViews>
  <sheetFormatPr defaultRowHeight="14.25"/>
  <cols>
    <col min="2" max="5" width="19.5" customWidth="1"/>
    <col min="8" max="8" width="19.25" customWidth="1"/>
    <col min="9" max="9" width="13.125" customWidth="1"/>
    <col min="10" max="10" width="17" customWidth="1"/>
    <col min="11" max="11" width="18" customWidth="1"/>
  </cols>
  <sheetData>
    <row r="2" spans="2:11" ht="30">
      <c r="B2" s="11" t="s">
        <v>125</v>
      </c>
      <c r="C2" s="11" t="s">
        <v>126</v>
      </c>
      <c r="D2" s="11" t="s">
        <v>127</v>
      </c>
      <c r="E2" s="11" t="s">
        <v>129</v>
      </c>
      <c r="H2" s="11" t="s">
        <v>120</v>
      </c>
      <c r="I2" s="11" t="s">
        <v>121</v>
      </c>
      <c r="J2" s="11" t="s">
        <v>122</v>
      </c>
      <c r="K2" s="11" t="s">
        <v>123</v>
      </c>
    </row>
    <row r="3" spans="2:11" ht="15">
      <c r="B3" s="8" t="s">
        <v>28</v>
      </c>
      <c r="C3" s="8">
        <f>IF(B3="Mall",1,0)</f>
        <v>1</v>
      </c>
      <c r="D3" s="8">
        <f>IF(B3="High Street",1,0)</f>
        <v>0</v>
      </c>
      <c r="E3" s="8">
        <f>IF(B5="Residential",1,0)</f>
        <v>0</v>
      </c>
      <c r="H3" s="11" t="s">
        <v>20</v>
      </c>
      <c r="I3" s="8">
        <f>IF(H3="North",1,0)</f>
        <v>1</v>
      </c>
      <c r="J3" s="8">
        <f>IF(H3="South",1,0)</f>
        <v>0</v>
      </c>
      <c r="K3" s="8">
        <f>IF(H3="East",1,0)</f>
        <v>0</v>
      </c>
    </row>
    <row r="4" spans="2:11" ht="15">
      <c r="B4" s="8" t="s">
        <v>18</v>
      </c>
      <c r="C4" s="8">
        <f t="shared" ref="C4:C6" si="0">IF(B4="Mall",1,0)</f>
        <v>0</v>
      </c>
      <c r="D4" s="8">
        <f>IF(B4="High Street",1,0)</f>
        <v>1</v>
      </c>
      <c r="E4" s="8">
        <f>IF(B5="Residential",1,0)</f>
        <v>0</v>
      </c>
      <c r="H4" s="11" t="s">
        <v>24</v>
      </c>
      <c r="I4" s="8">
        <f t="shared" ref="I4:I6" si="1">IF(H4="North",1,0)</f>
        <v>0</v>
      </c>
      <c r="J4" s="8">
        <f t="shared" ref="J4:J6" si="2">IF(H4="South",1,0)</f>
        <v>1</v>
      </c>
      <c r="K4" s="8">
        <f t="shared" ref="K4:K6" si="3">IF(H4="East",1,0)</f>
        <v>0</v>
      </c>
    </row>
    <row r="5" spans="2:11" ht="15">
      <c r="B5" s="8" t="s">
        <v>128</v>
      </c>
      <c r="C5" s="8">
        <f t="shared" si="0"/>
        <v>0</v>
      </c>
      <c r="D5" s="8">
        <f>IF(B5="High Street",1,0)</f>
        <v>0</v>
      </c>
      <c r="E5" s="8">
        <v>1</v>
      </c>
      <c r="H5" s="11" t="s">
        <v>15</v>
      </c>
      <c r="I5" s="8">
        <f t="shared" si="1"/>
        <v>0</v>
      </c>
      <c r="J5" s="8">
        <f t="shared" si="2"/>
        <v>0</v>
      </c>
      <c r="K5" s="8">
        <f t="shared" si="3"/>
        <v>1</v>
      </c>
    </row>
    <row r="6" spans="2:11" ht="15">
      <c r="B6" s="8" t="s">
        <v>130</v>
      </c>
      <c r="C6" s="8">
        <f t="shared" si="0"/>
        <v>0</v>
      </c>
      <c r="D6" s="8">
        <f>IF(B6="High Street",1,0)</f>
        <v>0</v>
      </c>
      <c r="E6" s="8">
        <f>IF(B6="Residential",1,0)</f>
        <v>0</v>
      </c>
      <c r="H6" s="11" t="s">
        <v>124</v>
      </c>
      <c r="I6" s="8">
        <f t="shared" si="1"/>
        <v>0</v>
      </c>
      <c r="J6" s="8">
        <f t="shared" si="2"/>
        <v>0</v>
      </c>
      <c r="K6" s="8">
        <f t="shared" si="3"/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2EC0-152E-45A5-909C-FD89127C65D6}">
  <dimension ref="B2:O118"/>
  <sheetViews>
    <sheetView tabSelected="1" topLeftCell="J19" zoomScale="90" zoomScaleNormal="90" workbookViewId="0">
      <selection activeCell="L25" sqref="L25"/>
    </sheetView>
  </sheetViews>
  <sheetFormatPr defaultRowHeight="14.25"/>
  <cols>
    <col min="2" max="2" width="34.125" style="3" bestFit="1" customWidth="1"/>
    <col min="3" max="3" width="11.875" style="3" bestFit="1" customWidth="1"/>
    <col min="4" max="4" width="13.5" style="3" bestFit="1" customWidth="1"/>
    <col min="5" max="6" width="12.25" style="3" bestFit="1" customWidth="1"/>
    <col min="7" max="7" width="12.875" style="3" bestFit="1" customWidth="1"/>
    <col min="8" max="9" width="11.875" style="3" bestFit="1" customWidth="1"/>
    <col min="10" max="10" width="12" style="3" bestFit="1" customWidth="1"/>
    <col min="14" max="14" width="32.75" bestFit="1" customWidth="1"/>
    <col min="15" max="15" width="143.625" bestFit="1" customWidth="1"/>
  </cols>
  <sheetData>
    <row r="2" spans="2:15" ht="26.25">
      <c r="B2" s="22" t="s">
        <v>160</v>
      </c>
    </row>
    <row r="3" spans="2:15">
      <c r="N3" s="24" t="s">
        <v>161</v>
      </c>
      <c r="O3" s="23" t="s">
        <v>167</v>
      </c>
    </row>
    <row r="4" spans="2:15" ht="18">
      <c r="B4" s="20" t="s">
        <v>155</v>
      </c>
      <c r="N4" s="24" t="s">
        <v>162</v>
      </c>
      <c r="O4" s="23" t="s">
        <v>168</v>
      </c>
    </row>
    <row r="5" spans="2:15">
      <c r="N5" s="24" t="s">
        <v>163</v>
      </c>
      <c r="O5" s="23">
        <v>2.1295753275898281</v>
      </c>
    </row>
    <row r="6" spans="2:15">
      <c r="B6" s="3" t="s">
        <v>131</v>
      </c>
      <c r="N6" s="24" t="s">
        <v>164</v>
      </c>
      <c r="O6" s="23" t="s">
        <v>169</v>
      </c>
    </row>
    <row r="7" spans="2:15" ht="15" thickBot="1">
      <c r="N7" s="24" t="s">
        <v>165</v>
      </c>
      <c r="O7" s="23" t="s">
        <v>170</v>
      </c>
    </row>
    <row r="8" spans="2:15">
      <c r="B8" s="18" t="s">
        <v>132</v>
      </c>
      <c r="C8" s="18"/>
      <c r="N8" s="24" t="s">
        <v>166</v>
      </c>
      <c r="O8" s="23" t="s">
        <v>171</v>
      </c>
    </row>
    <row r="9" spans="2:15">
      <c r="B9" s="3" t="s">
        <v>133</v>
      </c>
      <c r="C9" s="3">
        <v>0.40895561021322352</v>
      </c>
    </row>
    <row r="10" spans="2:15">
      <c r="B10" s="3" t="s">
        <v>134</v>
      </c>
      <c r="C10" s="3">
        <v>0.16724469112487</v>
      </c>
    </row>
    <row r="11" spans="2:15">
      <c r="B11" s="3" t="s">
        <v>135</v>
      </c>
      <c r="C11" s="3">
        <v>0.16462596373847024</v>
      </c>
    </row>
    <row r="12" spans="2:15">
      <c r="B12" s="3" t="s">
        <v>136</v>
      </c>
      <c r="C12" s="3">
        <v>94846.03383215853</v>
      </c>
    </row>
    <row r="13" spans="2:15" ht="15" thickBot="1">
      <c r="B13" s="19" t="s">
        <v>137</v>
      </c>
      <c r="C13" s="19">
        <v>320</v>
      </c>
    </row>
    <row r="15" spans="2:15" ht="15" thickBot="1">
      <c r="B15" s="3" t="s">
        <v>138</v>
      </c>
    </row>
    <row r="16" spans="2:15">
      <c r="B16" s="18"/>
      <c r="C16" s="18" t="s">
        <v>143</v>
      </c>
      <c r="D16" s="18" t="s">
        <v>144</v>
      </c>
      <c r="E16" s="18" t="s">
        <v>145</v>
      </c>
      <c r="F16" s="18" t="s">
        <v>146</v>
      </c>
      <c r="G16" s="18" t="s">
        <v>147</v>
      </c>
    </row>
    <row r="17" spans="2:15">
      <c r="B17" s="3" t="s">
        <v>139</v>
      </c>
      <c r="C17" s="3">
        <v>1</v>
      </c>
      <c r="D17" s="3">
        <v>574513714277.01416</v>
      </c>
      <c r="E17" s="3">
        <v>574513714277.01416</v>
      </c>
      <c r="F17" s="3">
        <v>63.864872683367629</v>
      </c>
      <c r="G17" s="3">
        <v>2.4800615101359619E-14</v>
      </c>
    </row>
    <row r="18" spans="2:15">
      <c r="B18" s="3" t="s">
        <v>140</v>
      </c>
      <c r="C18" s="3">
        <v>318</v>
      </c>
      <c r="D18" s="3">
        <v>2860654902513.7251</v>
      </c>
      <c r="E18" s="3">
        <v>8995770133.6909599</v>
      </c>
    </row>
    <row r="19" spans="2:15" ht="15" thickBot="1">
      <c r="B19" s="19" t="s">
        <v>141</v>
      </c>
      <c r="C19" s="19">
        <v>319</v>
      </c>
      <c r="D19" s="19">
        <v>3435168616790.7393</v>
      </c>
      <c r="E19" s="19"/>
      <c r="F19" s="19"/>
      <c r="G19" s="19"/>
    </row>
    <row r="20" spans="2:15" ht="15" thickBot="1"/>
    <row r="21" spans="2:15">
      <c r="B21" s="18"/>
      <c r="C21" s="18" t="s">
        <v>148</v>
      </c>
      <c r="D21" s="18" t="s">
        <v>136</v>
      </c>
      <c r="E21" s="18" t="s">
        <v>149</v>
      </c>
      <c r="F21" s="18" t="s">
        <v>150</v>
      </c>
      <c r="G21" s="18" t="s">
        <v>151</v>
      </c>
      <c r="H21" s="18" t="s">
        <v>152</v>
      </c>
      <c r="I21" s="18" t="s">
        <v>153</v>
      </c>
      <c r="J21" s="18" t="s">
        <v>154</v>
      </c>
    </row>
    <row r="22" spans="2:15">
      <c r="B22" s="3" t="s">
        <v>142</v>
      </c>
      <c r="C22" s="3">
        <v>560777.34544943704</v>
      </c>
      <c r="D22" s="3">
        <v>15906.905953068674</v>
      </c>
      <c r="E22" s="3">
        <v>35.253703460870398</v>
      </c>
      <c r="F22" s="3">
        <v>6.952876876284135E-112</v>
      </c>
      <c r="G22" s="3">
        <v>529481.27234763221</v>
      </c>
      <c r="H22" s="3">
        <v>592073.41855124186</v>
      </c>
      <c r="I22" s="3">
        <v>529481.27234763221</v>
      </c>
      <c r="J22" s="3">
        <v>592073.41855124186</v>
      </c>
    </row>
    <row r="23" spans="2:15" ht="15" thickBot="1">
      <c r="B23" s="19" t="s">
        <v>4</v>
      </c>
      <c r="C23" s="19">
        <v>2.1295753275898281</v>
      </c>
      <c r="D23" s="19">
        <v>0.26647838106932348</v>
      </c>
      <c r="E23" s="19">
        <v>7.991550080138869</v>
      </c>
      <c r="F23" s="19">
        <v>2.4800615101360068E-14</v>
      </c>
      <c r="G23" s="19">
        <v>1.6052919176921738</v>
      </c>
      <c r="H23" s="19">
        <v>2.6538587374874822</v>
      </c>
      <c r="I23" s="19">
        <v>1.6052919176921738</v>
      </c>
      <c r="J23" s="19">
        <v>2.6538587374874822</v>
      </c>
    </row>
    <row r="27" spans="2:15" ht="18">
      <c r="B27" s="20" t="s">
        <v>156</v>
      </c>
    </row>
    <row r="29" spans="2:15">
      <c r="B29" t="s">
        <v>131</v>
      </c>
      <c r="C29"/>
      <c r="D29"/>
      <c r="E29"/>
      <c r="F29"/>
      <c r="G29"/>
      <c r="H29"/>
      <c r="I29"/>
      <c r="J29"/>
      <c r="N29" s="24" t="s">
        <v>161</v>
      </c>
      <c r="O29" s="23" t="s">
        <v>172</v>
      </c>
    </row>
    <row r="30" spans="2:15" ht="15" thickBot="1">
      <c r="B30"/>
      <c r="C30"/>
      <c r="D30"/>
      <c r="E30"/>
      <c r="F30"/>
      <c r="G30"/>
      <c r="H30"/>
      <c r="I30"/>
      <c r="J30"/>
      <c r="N30" s="24" t="s">
        <v>162</v>
      </c>
      <c r="O30" s="25" t="s">
        <v>173</v>
      </c>
    </row>
    <row r="31" spans="2:15">
      <c r="B31" s="17" t="s">
        <v>132</v>
      </c>
      <c r="C31" s="17"/>
      <c r="D31"/>
      <c r="E31"/>
      <c r="F31"/>
      <c r="G31"/>
      <c r="H31"/>
      <c r="I31"/>
      <c r="J31"/>
      <c r="N31" s="24" t="s">
        <v>163</v>
      </c>
      <c r="O31" s="25">
        <v>35.678031072640458</v>
      </c>
    </row>
    <row r="32" spans="2:15">
      <c r="B32" t="s">
        <v>133</v>
      </c>
      <c r="C32">
        <v>0.85807070804410468</v>
      </c>
      <c r="D32"/>
      <c r="E32"/>
      <c r="F32"/>
      <c r="G32"/>
      <c r="H32"/>
      <c r="I32"/>
      <c r="J32"/>
      <c r="N32" s="24" t="s">
        <v>164</v>
      </c>
      <c r="O32" s="25">
        <v>4.7503615090054677E-94</v>
      </c>
    </row>
    <row r="33" spans="2:15">
      <c r="B33" t="s">
        <v>134</v>
      </c>
      <c r="C33">
        <v>0.73628534000331114</v>
      </c>
      <c r="D33"/>
      <c r="E33"/>
      <c r="F33"/>
      <c r="G33"/>
      <c r="H33"/>
      <c r="I33"/>
      <c r="J33"/>
      <c r="N33" s="24" t="s">
        <v>165</v>
      </c>
      <c r="O33" s="25" t="s">
        <v>174</v>
      </c>
    </row>
    <row r="34" spans="2:15">
      <c r="B34" t="s">
        <v>135</v>
      </c>
      <c r="C34">
        <v>0.73545604861967373</v>
      </c>
      <c r="D34"/>
      <c r="E34"/>
      <c r="F34"/>
      <c r="G34"/>
      <c r="H34"/>
      <c r="I34"/>
      <c r="J34"/>
      <c r="N34" s="24" t="s">
        <v>166</v>
      </c>
      <c r="O34" s="25" t="s">
        <v>175</v>
      </c>
    </row>
    <row r="35" spans="2:15">
      <c r="B35" t="s">
        <v>136</v>
      </c>
      <c r="C35">
        <v>53373.736380790499</v>
      </c>
      <c r="D35"/>
      <c r="E35"/>
      <c r="F35"/>
      <c r="G35"/>
      <c r="H35"/>
      <c r="I35"/>
      <c r="J35"/>
    </row>
    <row r="36" spans="2:15" ht="15" thickBot="1">
      <c r="B36" s="15" t="s">
        <v>137</v>
      </c>
      <c r="C36" s="15">
        <v>320</v>
      </c>
      <c r="D36"/>
      <c r="E36"/>
      <c r="F36"/>
      <c r="G36"/>
      <c r="H36"/>
      <c r="I36"/>
      <c r="J36"/>
    </row>
    <row r="37" spans="2:15">
      <c r="B37"/>
      <c r="C37"/>
      <c r="D37"/>
      <c r="E37"/>
      <c r="F37"/>
      <c r="G37"/>
      <c r="H37"/>
      <c r="I37"/>
      <c r="J37"/>
    </row>
    <row r="38" spans="2:15" ht="15" thickBot="1">
      <c r="B38" t="s">
        <v>138</v>
      </c>
      <c r="C38"/>
      <c r="D38"/>
      <c r="E38"/>
      <c r="F38"/>
      <c r="G38"/>
      <c r="H38"/>
      <c r="I38"/>
      <c r="J38"/>
    </row>
    <row r="39" spans="2:15">
      <c r="B39" s="16"/>
      <c r="C39" s="16" t="s">
        <v>143</v>
      </c>
      <c r="D39" s="16" t="s">
        <v>144</v>
      </c>
      <c r="E39" s="16" t="s">
        <v>145</v>
      </c>
      <c r="F39" s="16" t="s">
        <v>146</v>
      </c>
      <c r="G39" s="16" t="s">
        <v>147</v>
      </c>
      <c r="H39"/>
      <c r="I39"/>
      <c r="J39"/>
    </row>
    <row r="40" spans="2:15">
      <c r="B40" t="s">
        <v>139</v>
      </c>
      <c r="C40">
        <v>1</v>
      </c>
      <c r="D40">
        <v>2529264292982.4736</v>
      </c>
      <c r="E40">
        <v>2529264292982.4736</v>
      </c>
      <c r="F40">
        <v>887.84877611276033</v>
      </c>
      <c r="G40">
        <v>4.7503615090053331E-94</v>
      </c>
      <c r="H40"/>
      <c r="I40"/>
      <c r="J40"/>
    </row>
    <row r="41" spans="2:15">
      <c r="B41" t="s">
        <v>140</v>
      </c>
      <c r="C41">
        <v>318</v>
      </c>
      <c r="D41">
        <v>905904323808.26587</v>
      </c>
      <c r="E41">
        <v>2848755735.246119</v>
      </c>
      <c r="F41"/>
      <c r="G41"/>
      <c r="H41"/>
      <c r="I41"/>
      <c r="J41"/>
    </row>
    <row r="42" spans="2:15" ht="15" thickBot="1">
      <c r="B42" s="15" t="s">
        <v>141</v>
      </c>
      <c r="C42" s="15">
        <v>319</v>
      </c>
      <c r="D42" s="15">
        <v>3435168616790.7393</v>
      </c>
      <c r="E42" s="15"/>
      <c r="F42" s="15"/>
      <c r="G42" s="15"/>
      <c r="H42"/>
      <c r="I42"/>
      <c r="J42"/>
    </row>
    <row r="43" spans="2:15" ht="15" thickBot="1">
      <c r="B43"/>
      <c r="C43"/>
      <c r="D43"/>
      <c r="E43"/>
      <c r="F43"/>
      <c r="G43"/>
      <c r="H43"/>
      <c r="I43"/>
      <c r="J43"/>
    </row>
    <row r="44" spans="2:15">
      <c r="B44" s="16"/>
      <c r="C44" s="16" t="s">
        <v>148</v>
      </c>
      <c r="D44" s="16" t="s">
        <v>136</v>
      </c>
      <c r="E44" s="16" t="s">
        <v>149</v>
      </c>
      <c r="F44" s="16" t="s">
        <v>150</v>
      </c>
      <c r="G44" s="16" t="s">
        <v>151</v>
      </c>
      <c r="H44" s="16" t="s">
        <v>152</v>
      </c>
      <c r="I44" s="16" t="s">
        <v>153</v>
      </c>
      <c r="J44" s="16" t="s">
        <v>154</v>
      </c>
    </row>
    <row r="45" spans="2:15">
      <c r="B45" t="s">
        <v>142</v>
      </c>
      <c r="C45">
        <v>446410.58293395344</v>
      </c>
      <c r="D45">
        <v>8407.7382630059928</v>
      </c>
      <c r="E45">
        <v>53.095204556754318</v>
      </c>
      <c r="F45">
        <v>4.0862695711507226E-160</v>
      </c>
      <c r="G45">
        <v>429868.76191129786</v>
      </c>
      <c r="H45">
        <v>462952.40395660902</v>
      </c>
      <c r="I45">
        <v>429868.76191129786</v>
      </c>
      <c r="J45">
        <v>462952.40395660902</v>
      </c>
    </row>
    <row r="46" spans="2:15" ht="15" thickBot="1">
      <c r="B46" s="15" t="s">
        <v>5</v>
      </c>
      <c r="C46" s="15">
        <v>35.678031072640458</v>
      </c>
      <c r="D46" s="15">
        <v>1.1973782890340821</v>
      </c>
      <c r="E46" s="15">
        <v>29.796791372776362</v>
      </c>
      <c r="F46" s="15">
        <v>4.7503615090054677E-94</v>
      </c>
      <c r="G46" s="15">
        <v>33.322246825554025</v>
      </c>
      <c r="H46" s="15">
        <v>38.033815319726891</v>
      </c>
      <c r="I46" s="15">
        <v>33.322246825554025</v>
      </c>
      <c r="J46" s="15">
        <v>38.033815319726891</v>
      </c>
    </row>
    <row r="47" spans="2:15">
      <c r="B47"/>
      <c r="C47"/>
      <c r="D47"/>
      <c r="E47"/>
      <c r="F47"/>
      <c r="G47"/>
      <c r="H47"/>
      <c r="I47"/>
      <c r="J47"/>
    </row>
    <row r="48" spans="2:15">
      <c r="B48"/>
      <c r="C48"/>
      <c r="D48"/>
      <c r="E48"/>
      <c r="F48"/>
      <c r="G48"/>
      <c r="H48"/>
      <c r="I48"/>
      <c r="J48"/>
    </row>
    <row r="49" spans="2:15">
      <c r="B49"/>
      <c r="C49"/>
      <c r="D49"/>
      <c r="E49"/>
      <c r="F49"/>
      <c r="G49"/>
      <c r="H49"/>
      <c r="I49"/>
      <c r="J49"/>
    </row>
    <row r="50" spans="2:15" ht="18">
      <c r="B50" s="20" t="s">
        <v>157</v>
      </c>
    </row>
    <row r="52" spans="2:15">
      <c r="B52" t="s">
        <v>131</v>
      </c>
      <c r="C52"/>
      <c r="D52"/>
      <c r="E52"/>
      <c r="F52"/>
      <c r="G52"/>
      <c r="H52"/>
      <c r="I52"/>
      <c r="J52"/>
    </row>
    <row r="53" spans="2:15" ht="15" thickBot="1">
      <c r="B53"/>
      <c r="C53"/>
      <c r="D53"/>
      <c r="E53"/>
      <c r="F53"/>
      <c r="G53"/>
      <c r="H53"/>
      <c r="I53"/>
      <c r="J53"/>
      <c r="N53" s="23" t="s">
        <v>161</v>
      </c>
      <c r="O53" s="23" t="s">
        <v>176</v>
      </c>
    </row>
    <row r="54" spans="2:15">
      <c r="B54" s="17" t="s">
        <v>132</v>
      </c>
      <c r="C54" s="17"/>
      <c r="D54"/>
      <c r="E54"/>
      <c r="F54"/>
      <c r="G54"/>
      <c r="H54"/>
      <c r="I54"/>
      <c r="J54"/>
      <c r="N54" s="23" t="s">
        <v>162</v>
      </c>
      <c r="O54" s="25" t="s">
        <v>177</v>
      </c>
    </row>
    <row r="55" spans="2:15">
      <c r="B55" t="s">
        <v>133</v>
      </c>
      <c r="C55">
        <v>9.1052199448449889E-2</v>
      </c>
      <c r="D55"/>
      <c r="E55"/>
      <c r="F55"/>
      <c r="G55"/>
      <c r="H55"/>
      <c r="I55"/>
      <c r="J55"/>
      <c r="N55" s="23" t="s">
        <v>163</v>
      </c>
      <c r="O55" s="25">
        <v>-138730.45471638071</v>
      </c>
    </row>
    <row r="56" spans="2:15">
      <c r="B56" t="s">
        <v>134</v>
      </c>
      <c r="C56">
        <v>8.2905030244002989E-3</v>
      </c>
      <c r="D56"/>
      <c r="E56"/>
      <c r="F56"/>
      <c r="G56"/>
      <c r="H56"/>
      <c r="I56"/>
      <c r="J56"/>
      <c r="N56" s="23" t="s">
        <v>164</v>
      </c>
      <c r="O56" s="25">
        <v>0.10399304641903374</v>
      </c>
    </row>
    <row r="57" spans="2:15">
      <c r="B57" t="s">
        <v>135</v>
      </c>
      <c r="C57">
        <v>5.171919700577658E-3</v>
      </c>
      <c r="D57"/>
      <c r="E57"/>
      <c r="F57"/>
      <c r="G57"/>
      <c r="H57"/>
      <c r="I57"/>
      <c r="J57"/>
      <c r="N57" s="23" t="s">
        <v>165</v>
      </c>
      <c r="O57" s="25" t="s">
        <v>182</v>
      </c>
    </row>
    <row r="58" spans="2:15">
      <c r="B58" t="s">
        <v>136</v>
      </c>
      <c r="C58">
        <v>103502.94470614102</v>
      </c>
      <c r="D58"/>
      <c r="E58"/>
      <c r="F58"/>
      <c r="G58"/>
      <c r="H58"/>
      <c r="I58"/>
      <c r="J58"/>
      <c r="N58" s="23" t="s">
        <v>166</v>
      </c>
      <c r="O58" s="25" t="s">
        <v>183</v>
      </c>
    </row>
    <row r="59" spans="2:15" ht="15" thickBot="1">
      <c r="B59" s="15" t="s">
        <v>137</v>
      </c>
      <c r="C59" s="15">
        <v>320</v>
      </c>
      <c r="D59"/>
      <c r="E59"/>
      <c r="F59"/>
      <c r="G59"/>
      <c r="H59"/>
      <c r="I59"/>
      <c r="J59"/>
    </row>
    <row r="60" spans="2:15">
      <c r="B60"/>
      <c r="C60"/>
      <c r="D60"/>
      <c r="E60"/>
      <c r="F60"/>
      <c r="G60"/>
      <c r="H60"/>
      <c r="I60"/>
      <c r="J60"/>
    </row>
    <row r="61" spans="2:15" ht="15" thickBot="1">
      <c r="B61" t="s">
        <v>138</v>
      </c>
      <c r="C61"/>
      <c r="D61"/>
      <c r="E61"/>
      <c r="F61"/>
      <c r="G61"/>
      <c r="H61"/>
      <c r="I61"/>
      <c r="J61"/>
    </row>
    <row r="62" spans="2:15">
      <c r="B62" s="16"/>
      <c r="C62" s="16" t="s">
        <v>143</v>
      </c>
      <c r="D62" s="16" t="s">
        <v>144</v>
      </c>
      <c r="E62" s="16" t="s">
        <v>145</v>
      </c>
      <c r="F62" s="16" t="s">
        <v>146</v>
      </c>
      <c r="G62" s="16" t="s">
        <v>147</v>
      </c>
      <c r="H62"/>
      <c r="I62"/>
      <c r="J62"/>
    </row>
    <row r="63" spans="2:15">
      <c r="B63" t="s">
        <v>139</v>
      </c>
      <c r="C63">
        <v>1</v>
      </c>
      <c r="D63">
        <v>28479275806.828613</v>
      </c>
      <c r="E63">
        <v>28479275806.828613</v>
      </c>
      <c r="F63">
        <v>2.658419597472264</v>
      </c>
      <c r="G63">
        <v>0.10399304641903476</v>
      </c>
      <c r="H63"/>
      <c r="I63"/>
      <c r="J63"/>
    </row>
    <row r="64" spans="2:15">
      <c r="B64" t="s">
        <v>140</v>
      </c>
      <c r="C64">
        <v>318</v>
      </c>
      <c r="D64">
        <v>3406689340983.9106</v>
      </c>
      <c r="E64">
        <v>10712859562.842485</v>
      </c>
      <c r="F64"/>
      <c r="G64"/>
      <c r="H64"/>
      <c r="I64"/>
      <c r="J64"/>
    </row>
    <row r="65" spans="2:15" ht="15" thickBot="1">
      <c r="B65" s="15" t="s">
        <v>141</v>
      </c>
      <c r="C65" s="15">
        <v>319</v>
      </c>
      <c r="D65" s="15">
        <v>3435168616790.7393</v>
      </c>
      <c r="E65" s="15"/>
      <c r="F65" s="15"/>
      <c r="G65" s="15"/>
      <c r="H65"/>
      <c r="I65"/>
      <c r="J65"/>
    </row>
    <row r="66" spans="2:15" ht="15" thickBot="1">
      <c r="B66"/>
      <c r="C66"/>
      <c r="D66"/>
      <c r="E66"/>
      <c r="F66"/>
      <c r="G66"/>
      <c r="H66"/>
      <c r="I66"/>
      <c r="J66"/>
    </row>
    <row r="67" spans="2:15">
      <c r="B67" s="16"/>
      <c r="C67" s="16" t="s">
        <v>148</v>
      </c>
      <c r="D67" s="16" t="s">
        <v>136</v>
      </c>
      <c r="E67" s="16" t="s">
        <v>149</v>
      </c>
      <c r="F67" s="16" t="s">
        <v>150</v>
      </c>
      <c r="G67" s="16" t="s">
        <v>151</v>
      </c>
      <c r="H67" s="16" t="s">
        <v>152</v>
      </c>
      <c r="I67" s="16" t="s">
        <v>153</v>
      </c>
      <c r="J67" s="16" t="s">
        <v>154</v>
      </c>
    </row>
    <row r="68" spans="2:15">
      <c r="B68" t="s">
        <v>142</v>
      </c>
      <c r="C68">
        <v>697835.62958654074</v>
      </c>
      <c r="D68">
        <v>12035.418765239492</v>
      </c>
      <c r="E68">
        <v>57.981832057395351</v>
      </c>
      <c r="F68">
        <v>3.8725943752004609E-171</v>
      </c>
      <c r="G68">
        <v>674156.52149354888</v>
      </c>
      <c r="H68">
        <v>721514.73767953261</v>
      </c>
      <c r="I68">
        <v>674156.52149354888</v>
      </c>
      <c r="J68">
        <v>721514.73767953261</v>
      </c>
    </row>
    <row r="69" spans="2:15" ht="15" thickBot="1">
      <c r="B69" s="15" t="s">
        <v>6</v>
      </c>
      <c r="C69" s="15">
        <v>-138730.45471638071</v>
      </c>
      <c r="D69" s="15">
        <v>85086.379579668472</v>
      </c>
      <c r="E69" s="15">
        <v>-1.6304660675623643</v>
      </c>
      <c r="F69" s="15">
        <v>0.10399304641903374</v>
      </c>
      <c r="G69" s="15">
        <v>-306133.81795682968</v>
      </c>
      <c r="H69" s="15">
        <v>28672.908524068218</v>
      </c>
      <c r="I69" s="15">
        <v>-306133.81795682968</v>
      </c>
      <c r="J69" s="15">
        <v>28672.908524068218</v>
      </c>
    </row>
    <row r="70" spans="2:15">
      <c r="B70"/>
      <c r="C70"/>
      <c r="D70"/>
      <c r="E70"/>
      <c r="F70"/>
      <c r="G70"/>
      <c r="H70"/>
      <c r="I70"/>
      <c r="J70"/>
    </row>
    <row r="71" spans="2:15">
      <c r="B71"/>
      <c r="C71"/>
      <c r="D71"/>
      <c r="E71"/>
      <c r="F71"/>
      <c r="G71"/>
      <c r="H71"/>
      <c r="I71"/>
      <c r="J71"/>
    </row>
    <row r="72" spans="2:15">
      <c r="B72"/>
      <c r="C72"/>
      <c r="D72"/>
      <c r="E72"/>
      <c r="F72"/>
      <c r="G72"/>
      <c r="H72"/>
      <c r="I72"/>
      <c r="J72"/>
    </row>
    <row r="73" spans="2:15" ht="18">
      <c r="B73" s="20" t="s">
        <v>158</v>
      </c>
    </row>
    <row r="74" spans="2:15">
      <c r="O74" s="26"/>
    </row>
    <row r="75" spans="2:15">
      <c r="B75" t="s">
        <v>131</v>
      </c>
      <c r="C75"/>
      <c r="D75"/>
      <c r="E75"/>
      <c r="F75"/>
      <c r="G75"/>
      <c r="H75"/>
      <c r="I75"/>
      <c r="J75"/>
      <c r="N75" s="23" t="s">
        <v>161</v>
      </c>
      <c r="O75" s="23" t="s">
        <v>178</v>
      </c>
    </row>
    <row r="76" spans="2:15" ht="15" thickBot="1">
      <c r="B76"/>
      <c r="C76"/>
      <c r="D76"/>
      <c r="E76"/>
      <c r="F76"/>
      <c r="G76"/>
      <c r="H76"/>
      <c r="I76"/>
      <c r="J76"/>
      <c r="N76" s="23" t="s">
        <v>162</v>
      </c>
      <c r="O76" s="25" t="s">
        <v>179</v>
      </c>
    </row>
    <row r="77" spans="2:15">
      <c r="B77" s="17" t="s">
        <v>132</v>
      </c>
      <c r="C77" s="17"/>
      <c r="D77"/>
      <c r="E77"/>
      <c r="F77"/>
      <c r="G77"/>
      <c r="H77"/>
      <c r="I77"/>
      <c r="J77"/>
      <c r="N77" s="23" t="s">
        <v>163</v>
      </c>
      <c r="O77" s="25">
        <v>2217.8319409989194</v>
      </c>
    </row>
    <row r="78" spans="2:15">
      <c r="B78" t="s">
        <v>133</v>
      </c>
      <c r="C78">
        <v>0.11452081018053405</v>
      </c>
      <c r="D78"/>
      <c r="E78"/>
      <c r="F78"/>
      <c r="G78"/>
      <c r="H78"/>
      <c r="I78"/>
      <c r="J78"/>
      <c r="N78" s="23" t="s">
        <v>164</v>
      </c>
      <c r="O78" s="25">
        <v>4.0625296630164572E-2</v>
      </c>
    </row>
    <row r="79" spans="2:15">
      <c r="B79" t="s">
        <v>134</v>
      </c>
      <c r="C79">
        <v>1.3115015964405912E-2</v>
      </c>
      <c r="D79"/>
      <c r="E79"/>
      <c r="F79"/>
      <c r="G79"/>
      <c r="H79"/>
      <c r="I79"/>
      <c r="J79"/>
      <c r="N79" s="23" t="s">
        <v>165</v>
      </c>
      <c r="O79" s="25" t="s">
        <v>184</v>
      </c>
    </row>
    <row r="80" spans="2:15">
      <c r="B80" t="s">
        <v>135</v>
      </c>
      <c r="C80">
        <v>1.0011604064922909E-2</v>
      </c>
      <c r="D80"/>
      <c r="E80"/>
      <c r="F80"/>
      <c r="G80"/>
      <c r="H80"/>
      <c r="I80"/>
      <c r="J80"/>
      <c r="N80" s="23" t="s">
        <v>166</v>
      </c>
      <c r="O80" s="25" t="s">
        <v>185</v>
      </c>
    </row>
    <row r="81" spans="2:10">
      <c r="B81" t="s">
        <v>136</v>
      </c>
      <c r="C81">
        <v>103250.87487318904</v>
      </c>
      <c r="D81"/>
      <c r="E81"/>
      <c r="F81"/>
      <c r="G81"/>
      <c r="H81"/>
      <c r="I81"/>
      <c r="J81"/>
    </row>
    <row r="82" spans="2:10" ht="15" thickBot="1">
      <c r="B82" s="15" t="s">
        <v>137</v>
      </c>
      <c r="C82" s="15">
        <v>320</v>
      </c>
      <c r="D82"/>
      <c r="E82"/>
      <c r="F82"/>
      <c r="G82"/>
      <c r="H82"/>
      <c r="I82"/>
      <c r="J82"/>
    </row>
    <row r="83" spans="2:10">
      <c r="B83"/>
      <c r="C83"/>
      <c r="D83"/>
      <c r="E83"/>
      <c r="F83"/>
      <c r="G83"/>
      <c r="H83"/>
      <c r="I83"/>
      <c r="J83"/>
    </row>
    <row r="84" spans="2:10" ht="15" thickBot="1">
      <c r="B84" t="s">
        <v>138</v>
      </c>
      <c r="C84"/>
      <c r="D84"/>
      <c r="E84"/>
      <c r="F84"/>
      <c r="G84"/>
      <c r="H84"/>
      <c r="I84"/>
      <c r="J84"/>
    </row>
    <row r="85" spans="2:10">
      <c r="B85" s="16"/>
      <c r="C85" s="16" t="s">
        <v>143</v>
      </c>
      <c r="D85" s="16" t="s">
        <v>144</v>
      </c>
      <c r="E85" s="16" t="s">
        <v>145</v>
      </c>
      <c r="F85" s="16" t="s">
        <v>146</v>
      </c>
      <c r="G85" s="16" t="s">
        <v>147</v>
      </c>
      <c r="H85"/>
      <c r="I85"/>
      <c r="J85"/>
    </row>
    <row r="86" spans="2:10">
      <c r="B86" t="s">
        <v>139</v>
      </c>
      <c r="C86">
        <v>1</v>
      </c>
      <c r="D86">
        <v>45052291249.636719</v>
      </c>
      <c r="E86">
        <v>45052291249.636719</v>
      </c>
      <c r="F86">
        <v>4.2259991226400695</v>
      </c>
      <c r="G86">
        <v>4.0625296630152581E-2</v>
      </c>
      <c r="H86"/>
      <c r="I86"/>
      <c r="J86"/>
    </row>
    <row r="87" spans="2:10">
      <c r="B87" t="s">
        <v>140</v>
      </c>
      <c r="C87">
        <v>318</v>
      </c>
      <c r="D87">
        <v>3390116325541.1025</v>
      </c>
      <c r="E87">
        <v>10660743162.078939</v>
      </c>
      <c r="F87"/>
      <c r="G87"/>
      <c r="H87"/>
      <c r="I87"/>
      <c r="J87"/>
    </row>
    <row r="88" spans="2:10" ht="15" thickBot="1">
      <c r="B88" s="15" t="s">
        <v>141</v>
      </c>
      <c r="C88" s="15">
        <v>319</v>
      </c>
      <c r="D88" s="15">
        <v>3435168616790.7393</v>
      </c>
      <c r="E88" s="15"/>
      <c r="F88" s="15"/>
      <c r="G88" s="15"/>
      <c r="H88"/>
      <c r="I88"/>
      <c r="J88"/>
    </row>
    <row r="89" spans="2:10" ht="15" thickBot="1">
      <c r="B89"/>
      <c r="C89"/>
      <c r="D89"/>
      <c r="E89"/>
      <c r="F89"/>
      <c r="G89"/>
      <c r="H89"/>
      <c r="I89"/>
      <c r="J89"/>
    </row>
    <row r="90" spans="2:10">
      <c r="B90" s="16"/>
      <c r="C90" s="16" t="s">
        <v>148</v>
      </c>
      <c r="D90" s="16" t="s">
        <v>136</v>
      </c>
      <c r="E90" s="16" t="s">
        <v>149</v>
      </c>
      <c r="F90" s="16" t="s">
        <v>150</v>
      </c>
      <c r="G90" s="16" t="s">
        <v>151</v>
      </c>
      <c r="H90" s="16" t="s">
        <v>152</v>
      </c>
      <c r="I90" s="16" t="s">
        <v>153</v>
      </c>
      <c r="J90" s="16" t="s">
        <v>154</v>
      </c>
    </row>
    <row r="91" spans="2:10">
      <c r="B91" t="s">
        <v>142</v>
      </c>
      <c r="C91">
        <v>484814.25658676017</v>
      </c>
      <c r="D91">
        <v>95428.021317590741</v>
      </c>
      <c r="E91">
        <v>5.0804182030901215</v>
      </c>
      <c r="F91">
        <v>6.4331365016162449E-7</v>
      </c>
      <c r="G91">
        <v>297064.21016495663</v>
      </c>
      <c r="H91">
        <v>672564.3030085637</v>
      </c>
      <c r="I91">
        <v>297064.21016495663</v>
      </c>
      <c r="J91">
        <v>672564.3030085637</v>
      </c>
    </row>
    <row r="92" spans="2:10" ht="15" thickBot="1">
      <c r="B92" s="15" t="s">
        <v>8</v>
      </c>
      <c r="C92" s="15">
        <v>2217.8319409989194</v>
      </c>
      <c r="D92" s="15">
        <v>1078.8571212403435</v>
      </c>
      <c r="E92" s="15">
        <v>2.0557235034506851</v>
      </c>
      <c r="F92" s="15">
        <v>4.0625296630164572E-2</v>
      </c>
      <c r="G92" s="15">
        <v>95.232396351023908</v>
      </c>
      <c r="H92" s="15">
        <v>4340.4314856468154</v>
      </c>
      <c r="I92" s="15">
        <v>95.232396351023908</v>
      </c>
      <c r="J92" s="15">
        <v>4340.4314856468154</v>
      </c>
    </row>
    <row r="93" spans="2:10">
      <c r="B93"/>
      <c r="C93"/>
      <c r="D93"/>
      <c r="E93"/>
      <c r="F93"/>
      <c r="G93"/>
      <c r="H93"/>
      <c r="I93"/>
      <c r="J93"/>
    </row>
    <row r="94" spans="2:10">
      <c r="B94"/>
      <c r="C94"/>
      <c r="D94"/>
      <c r="E94"/>
      <c r="F94"/>
      <c r="G94"/>
      <c r="H94"/>
      <c r="I94"/>
      <c r="J94"/>
    </row>
    <row r="95" spans="2:10">
      <c r="B95"/>
      <c r="C95"/>
      <c r="D95"/>
      <c r="E95"/>
      <c r="F95"/>
      <c r="G95"/>
      <c r="H95"/>
      <c r="I95"/>
      <c r="J95"/>
    </row>
    <row r="96" spans="2:10" ht="18">
      <c r="B96" s="20" t="s">
        <v>159</v>
      </c>
    </row>
    <row r="98" spans="2:15">
      <c r="B98" t="s">
        <v>131</v>
      </c>
      <c r="C98"/>
      <c r="D98"/>
      <c r="E98"/>
      <c r="F98"/>
      <c r="G98"/>
      <c r="H98"/>
      <c r="I98"/>
      <c r="J98"/>
    </row>
    <row r="99" spans="2:15" ht="15" thickBot="1">
      <c r="B99"/>
      <c r="C99"/>
      <c r="D99"/>
      <c r="E99"/>
      <c r="F99"/>
      <c r="G99"/>
      <c r="H99"/>
      <c r="I99"/>
      <c r="J99"/>
      <c r="N99" s="23" t="s">
        <v>161</v>
      </c>
      <c r="O99" s="23" t="s">
        <v>180</v>
      </c>
    </row>
    <row r="100" spans="2:15">
      <c r="B100" s="17" t="s">
        <v>132</v>
      </c>
      <c r="C100" s="17"/>
      <c r="D100"/>
      <c r="E100"/>
      <c r="F100"/>
      <c r="G100"/>
      <c r="H100"/>
      <c r="I100"/>
      <c r="J100"/>
      <c r="N100" s="23" t="s">
        <v>162</v>
      </c>
      <c r="O100" s="25" t="s">
        <v>181</v>
      </c>
    </row>
    <row r="101" spans="2:15">
      <c r="B101" t="s">
        <v>133</v>
      </c>
      <c r="C101">
        <v>2.6305182193976664E-2</v>
      </c>
      <c r="D101"/>
      <c r="E101"/>
      <c r="F101"/>
      <c r="G101"/>
      <c r="H101"/>
      <c r="I101"/>
      <c r="J101"/>
      <c r="N101" s="23" t="s">
        <v>163</v>
      </c>
      <c r="O101" s="25">
        <v>-5117.9738870801702</v>
      </c>
    </row>
    <row r="102" spans="2:15">
      <c r="B102" t="s">
        <v>134</v>
      </c>
      <c r="C102">
        <v>6.9196261025830695E-4</v>
      </c>
      <c r="D102"/>
      <c r="E102"/>
      <c r="F102"/>
      <c r="G102"/>
      <c r="H102"/>
      <c r="I102"/>
      <c r="J102"/>
      <c r="N102" s="23" t="s">
        <v>164</v>
      </c>
      <c r="O102" s="25">
        <v>0.64670184746276005</v>
      </c>
    </row>
    <row r="103" spans="2:15">
      <c r="B103" t="s">
        <v>135</v>
      </c>
      <c r="C103">
        <v>-2.5952348811553172E-3</v>
      </c>
      <c r="D103"/>
      <c r="E103"/>
      <c r="F103"/>
      <c r="G103"/>
      <c r="H103"/>
      <c r="I103"/>
      <c r="J103"/>
      <c r="N103" s="23" t="s">
        <v>165</v>
      </c>
      <c r="O103" s="25" t="s">
        <v>186</v>
      </c>
    </row>
    <row r="104" spans="2:15">
      <c r="B104" t="s">
        <v>136</v>
      </c>
      <c r="C104">
        <v>103062.22483108814</v>
      </c>
      <c r="D104"/>
      <c r="E104"/>
      <c r="F104"/>
      <c r="G104"/>
      <c r="H104"/>
      <c r="I104"/>
      <c r="J104"/>
      <c r="N104" s="23" t="s">
        <v>166</v>
      </c>
      <c r="O104" s="25" t="s">
        <v>187</v>
      </c>
    </row>
    <row r="105" spans="2:15" ht="15" thickBot="1">
      <c r="B105" s="15" t="s">
        <v>137</v>
      </c>
      <c r="C105" s="15">
        <v>306</v>
      </c>
      <c r="D105"/>
      <c r="E105"/>
      <c r="F105"/>
      <c r="G105"/>
      <c r="H105"/>
      <c r="I105"/>
      <c r="J105"/>
    </row>
    <row r="106" spans="2:15">
      <c r="B106"/>
      <c r="C106"/>
      <c r="D106"/>
      <c r="E106"/>
      <c r="F106"/>
      <c r="G106"/>
      <c r="H106"/>
      <c r="I106"/>
      <c r="J106"/>
    </row>
    <row r="107" spans="2:15" ht="15" thickBot="1">
      <c r="B107" t="s">
        <v>138</v>
      </c>
      <c r="C107"/>
      <c r="D107"/>
      <c r="E107"/>
      <c r="F107"/>
      <c r="G107"/>
      <c r="H107"/>
      <c r="I107"/>
      <c r="J107"/>
    </row>
    <row r="108" spans="2:15">
      <c r="B108" s="16"/>
      <c r="C108" s="16" t="s">
        <v>143</v>
      </c>
      <c r="D108" s="16" t="s">
        <v>144</v>
      </c>
      <c r="E108" s="16" t="s">
        <v>145</v>
      </c>
      <c r="F108" s="16" t="s">
        <v>146</v>
      </c>
      <c r="G108" s="16" t="s">
        <v>147</v>
      </c>
      <c r="H108"/>
      <c r="I108"/>
      <c r="J108"/>
    </row>
    <row r="109" spans="2:15">
      <c r="B109" t="s">
        <v>139</v>
      </c>
      <c r="C109">
        <v>1</v>
      </c>
      <c r="D109">
        <v>2235917928.7241211</v>
      </c>
      <c r="E109">
        <v>2235917928.7241211</v>
      </c>
      <c r="F109">
        <v>0.21050229323481742</v>
      </c>
      <c r="G109">
        <v>0.64670184746285553</v>
      </c>
      <c r="H109"/>
      <c r="I109"/>
      <c r="J109"/>
    </row>
    <row r="110" spans="2:15">
      <c r="B110" t="s">
        <v>140</v>
      </c>
      <c r="C110">
        <v>304</v>
      </c>
      <c r="D110">
        <v>3229033944888.6636</v>
      </c>
      <c r="E110">
        <v>10621822187.133762</v>
      </c>
      <c r="F110"/>
      <c r="G110"/>
      <c r="H110"/>
      <c r="I110"/>
      <c r="J110"/>
    </row>
    <row r="111" spans="2:15" ht="15" thickBot="1">
      <c r="B111" s="15" t="s">
        <v>141</v>
      </c>
      <c r="C111" s="15">
        <v>305</v>
      </c>
      <c r="D111" s="15">
        <v>3231269862817.3877</v>
      </c>
      <c r="E111" s="15"/>
      <c r="F111" s="15"/>
      <c r="G111" s="15"/>
      <c r="H111"/>
      <c r="I111"/>
      <c r="J111"/>
    </row>
    <row r="112" spans="2:15" ht="15" thickBot="1">
      <c r="B112"/>
      <c r="C112"/>
      <c r="D112"/>
      <c r="E112"/>
      <c r="F112"/>
      <c r="G112"/>
      <c r="H112"/>
      <c r="I112"/>
      <c r="J112"/>
    </row>
    <row r="113" spans="2:10">
      <c r="B113" s="16"/>
      <c r="C113" s="16" t="s">
        <v>148</v>
      </c>
      <c r="D113" s="16" t="s">
        <v>136</v>
      </c>
      <c r="E113" s="16" t="s">
        <v>149</v>
      </c>
      <c r="F113" s="16" t="s">
        <v>150</v>
      </c>
      <c r="G113" s="16" t="s">
        <v>151</v>
      </c>
      <c r="H113" s="16" t="s">
        <v>152</v>
      </c>
      <c r="I113" s="16" t="s">
        <v>153</v>
      </c>
      <c r="J113" s="16" t="s">
        <v>154</v>
      </c>
    </row>
    <row r="114" spans="2:10">
      <c r="B114" t="s">
        <v>142</v>
      </c>
      <c r="C114">
        <v>703414.65063269855</v>
      </c>
      <c r="D114">
        <v>44168.976291214378</v>
      </c>
      <c r="E114">
        <v>15.925536648052544</v>
      </c>
      <c r="F114">
        <v>6.0613913776372045E-42</v>
      </c>
      <c r="G114">
        <v>616499.02120947198</v>
      </c>
      <c r="H114">
        <v>790330.28005592513</v>
      </c>
      <c r="I114">
        <v>616499.02120947198</v>
      </c>
      <c r="J114">
        <v>790330.28005592513</v>
      </c>
    </row>
    <row r="115" spans="2:10" ht="15" thickBot="1">
      <c r="B115" s="15" t="s">
        <v>11</v>
      </c>
      <c r="C115" s="15">
        <v>-5117.9738870801702</v>
      </c>
      <c r="D115" s="15">
        <v>11155.001935538188</v>
      </c>
      <c r="E115" s="15">
        <v>-0.45880528902241258</v>
      </c>
      <c r="F115" s="15">
        <v>0.64670184746276005</v>
      </c>
      <c r="G115" s="15">
        <v>-27068.765955527175</v>
      </c>
      <c r="H115" s="15">
        <v>16832.818181366834</v>
      </c>
      <c r="I115" s="15">
        <v>-27068.765955527175</v>
      </c>
      <c r="J115" s="15">
        <v>16832.818181366834</v>
      </c>
    </row>
    <row r="116" spans="2:10">
      <c r="B116"/>
      <c r="C116"/>
      <c r="D116"/>
      <c r="E116"/>
      <c r="F116"/>
      <c r="G116"/>
      <c r="H116"/>
      <c r="I116"/>
      <c r="J116"/>
    </row>
    <row r="117" spans="2:10">
      <c r="B117"/>
      <c r="C117"/>
      <c r="D117"/>
      <c r="E117"/>
      <c r="F117"/>
      <c r="G117"/>
      <c r="H117"/>
      <c r="I117"/>
      <c r="J117"/>
    </row>
    <row r="118" spans="2:10">
      <c r="B118"/>
      <c r="C118"/>
      <c r="D118"/>
      <c r="E118"/>
      <c r="F118"/>
      <c r="G118"/>
      <c r="H118"/>
      <c r="I118"/>
      <c r="J118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2033-E329-4F10-972B-A6651ED95A7D}">
  <dimension ref="B2:R34"/>
  <sheetViews>
    <sheetView workbookViewId="0">
      <selection activeCell="H27" sqref="H27"/>
    </sheetView>
  </sheetViews>
  <sheetFormatPr defaultRowHeight="14.25"/>
  <cols>
    <col min="2" max="2" width="21" style="3" bestFit="1" customWidth="1"/>
    <col min="3" max="3" width="14.5" style="3" customWidth="1"/>
    <col min="4" max="4" width="13.5" style="3" bestFit="1" customWidth="1"/>
    <col min="5" max="5" width="12.5" style="3" bestFit="1" customWidth="1"/>
    <col min="6" max="6" width="12.25" style="3" bestFit="1" customWidth="1"/>
    <col min="7" max="7" width="12.875" style="3" bestFit="1" customWidth="1"/>
    <col min="8" max="10" width="12.5" style="3" bestFit="1" customWidth="1"/>
  </cols>
  <sheetData>
    <row r="2" spans="2:7">
      <c r="B2" s="3" t="s">
        <v>131</v>
      </c>
    </row>
    <row r="3" spans="2:7" ht="15" thickBot="1"/>
    <row r="4" spans="2:7">
      <c r="B4" s="18" t="s">
        <v>132</v>
      </c>
      <c r="C4" s="18"/>
    </row>
    <row r="5" spans="2:7">
      <c r="B5" s="3" t="s">
        <v>133</v>
      </c>
      <c r="C5" s="3">
        <v>0.8985380945217234</v>
      </c>
    </row>
    <row r="6" spans="2:7">
      <c r="B6" s="3" t="s">
        <v>134</v>
      </c>
      <c r="C6" s="3">
        <v>0.80737070730672944</v>
      </c>
    </row>
    <row r="7" spans="2:7">
      <c r="B7" s="3" t="s">
        <v>135</v>
      </c>
      <c r="C7" s="3">
        <v>0.80350523655034278</v>
      </c>
    </row>
    <row r="8" spans="2:7">
      <c r="B8" s="3" t="s">
        <v>136</v>
      </c>
      <c r="C8" s="3">
        <v>45625.977908632784</v>
      </c>
    </row>
    <row r="9" spans="2:7" ht="15" thickBot="1">
      <c r="B9" s="19" t="s">
        <v>137</v>
      </c>
      <c r="C9" s="19">
        <v>306</v>
      </c>
    </row>
    <row r="11" spans="2:7" ht="15" thickBot="1">
      <c r="B11" s="3" t="s">
        <v>138</v>
      </c>
    </row>
    <row r="12" spans="2:7">
      <c r="B12" s="18"/>
      <c r="C12" s="18" t="s">
        <v>143</v>
      </c>
      <c r="D12" s="18" t="s">
        <v>144</v>
      </c>
      <c r="E12" s="18" t="s">
        <v>145</v>
      </c>
      <c r="F12" s="18" t="s">
        <v>146</v>
      </c>
      <c r="G12" s="18" t="s">
        <v>147</v>
      </c>
    </row>
    <row r="13" spans="2:7">
      <c r="B13" s="3" t="s">
        <v>139</v>
      </c>
      <c r="C13" s="3">
        <v>6</v>
      </c>
      <c r="D13" s="3">
        <v>2608832634641.793</v>
      </c>
      <c r="E13" s="3">
        <v>434805439106.96552</v>
      </c>
      <c r="F13" s="3">
        <v>208.8673691225722</v>
      </c>
      <c r="G13" s="3">
        <v>8.6782150271641452E-104</v>
      </c>
    </row>
    <row r="14" spans="2:7">
      <c r="B14" s="3" t="s">
        <v>140</v>
      </c>
      <c r="C14" s="3">
        <v>299</v>
      </c>
      <c r="D14" s="3">
        <v>622437228175.59497</v>
      </c>
      <c r="E14" s="3">
        <v>2081729860.1190467</v>
      </c>
    </row>
    <row r="15" spans="2:7" ht="15" thickBot="1">
      <c r="B15" s="19" t="s">
        <v>141</v>
      </c>
      <c r="C15" s="19">
        <v>305</v>
      </c>
      <c r="D15" s="19">
        <v>3231269862817.3877</v>
      </c>
      <c r="E15" s="19"/>
      <c r="F15" s="19"/>
      <c r="G15" s="19"/>
    </row>
    <row r="16" spans="2:7" ht="15" thickBot="1"/>
    <row r="17" spans="2:15">
      <c r="B17" s="18"/>
      <c r="C17" s="18" t="s">
        <v>148</v>
      </c>
      <c r="D17" s="18" t="s">
        <v>136</v>
      </c>
      <c r="E17" s="18" t="s">
        <v>149</v>
      </c>
      <c r="F17" s="18" t="s">
        <v>150</v>
      </c>
      <c r="G17" s="18" t="s">
        <v>151</v>
      </c>
      <c r="H17" s="18" t="s">
        <v>152</v>
      </c>
      <c r="I17" s="18" t="s">
        <v>153</v>
      </c>
      <c r="J17" s="18" t="s">
        <v>154</v>
      </c>
    </row>
    <row r="18" spans="2:15">
      <c r="B18" s="3" t="s">
        <v>142</v>
      </c>
      <c r="C18" s="3">
        <v>167465.00138699147</v>
      </c>
      <c r="D18" s="3">
        <v>45502.457894300882</v>
      </c>
      <c r="E18" s="3">
        <v>3.6803506697594508</v>
      </c>
      <c r="F18" s="3">
        <v>2.7622638042420599E-4</v>
      </c>
      <c r="G18" s="3">
        <v>77919.364481385492</v>
      </c>
      <c r="H18" s="3">
        <v>257010.63829259743</v>
      </c>
      <c r="I18" s="3">
        <v>77919.364481385492</v>
      </c>
      <c r="J18" s="3">
        <v>257010.63829259743</v>
      </c>
    </row>
    <row r="19" spans="2:15">
      <c r="B19" s="3" t="s">
        <v>121</v>
      </c>
      <c r="C19" s="3">
        <v>-64890.808232297772</v>
      </c>
      <c r="D19" s="3">
        <v>46237.937249233437</v>
      </c>
      <c r="E19" s="3">
        <v>-1.4034105345686365</v>
      </c>
      <c r="F19" s="3">
        <v>0.16153210702592669</v>
      </c>
      <c r="G19" s="3">
        <v>-155883.8167814608</v>
      </c>
      <c r="H19" s="3">
        <v>26102.200316865259</v>
      </c>
      <c r="I19" s="3">
        <v>-155883.8167814608</v>
      </c>
      <c r="J19" s="3">
        <v>26102.200316865259</v>
      </c>
    </row>
    <row r="20" spans="2:15">
      <c r="B20" s="3" t="s">
        <v>122</v>
      </c>
      <c r="C20" s="3">
        <v>-88660.973559917416</v>
      </c>
      <c r="D20" s="3">
        <v>45841.205450510563</v>
      </c>
      <c r="E20" s="3">
        <v>-1.9340890512932605</v>
      </c>
      <c r="F20" s="3">
        <v>5.4045621999957619E-2</v>
      </c>
      <c r="G20" s="3">
        <v>-178873.2418317119</v>
      </c>
      <c r="H20" s="3">
        <v>1551.2947118770826</v>
      </c>
      <c r="I20" s="3">
        <v>-178873.2418317119</v>
      </c>
      <c r="J20" s="3">
        <v>1551.2947118770826</v>
      </c>
    </row>
    <row r="21" spans="2:15">
      <c r="B21" s="3" t="s">
        <v>123</v>
      </c>
      <c r="C21" s="3">
        <v>-93638.375582099849</v>
      </c>
      <c r="D21" s="3">
        <v>45779.648120945494</v>
      </c>
      <c r="E21" s="3">
        <v>-2.0454149261854555</v>
      </c>
      <c r="F21" s="3">
        <v>4.1688938435246098E-2</v>
      </c>
      <c r="G21" s="3">
        <v>-183729.50335869478</v>
      </c>
      <c r="H21" s="3">
        <v>-3547.2478055048996</v>
      </c>
      <c r="I21" s="3">
        <v>-183729.50335869478</v>
      </c>
      <c r="J21" s="3">
        <v>-3547.2478055048996</v>
      </c>
    </row>
    <row r="22" spans="2:15">
      <c r="B22" s="3" t="s">
        <v>4</v>
      </c>
      <c r="C22" s="3">
        <v>1.1666399424378291</v>
      </c>
      <c r="D22" s="3">
        <v>0.13473881110575578</v>
      </c>
      <c r="E22" s="3">
        <v>8.6585292898431447</v>
      </c>
      <c r="F22" s="3">
        <v>3.0259594705673695E-16</v>
      </c>
      <c r="G22" s="3">
        <v>0.90148343848817769</v>
      </c>
      <c r="H22" s="3">
        <v>1.4317964463874806</v>
      </c>
      <c r="I22" s="3">
        <v>0.90148343848817769</v>
      </c>
      <c r="J22" s="3">
        <v>1.4317964463874806</v>
      </c>
    </row>
    <row r="23" spans="2:15">
      <c r="B23" s="3" t="s">
        <v>5</v>
      </c>
      <c r="C23" s="3">
        <v>33.973105954447647</v>
      </c>
      <c r="D23" s="3">
        <v>1.0846710811060385</v>
      </c>
      <c r="E23" s="3">
        <v>31.321113419752365</v>
      </c>
      <c r="F23" s="3">
        <v>2.0202664174855409E-96</v>
      </c>
      <c r="G23" s="3">
        <v>31.838549552761542</v>
      </c>
      <c r="H23" s="3">
        <v>36.107662356133751</v>
      </c>
      <c r="I23" s="3">
        <v>31.838549552761542</v>
      </c>
      <c r="J23" s="3">
        <v>36.107662356133751</v>
      </c>
    </row>
    <row r="24" spans="2:15" ht="15" thickBot="1">
      <c r="B24" s="19" t="s">
        <v>8</v>
      </c>
      <c r="C24" s="19">
        <v>2561.2660529710547</v>
      </c>
      <c r="D24" s="19">
        <v>500.31419484574991</v>
      </c>
      <c r="E24" s="19">
        <v>5.1193151810547963</v>
      </c>
      <c r="F24" s="19">
        <v>5.4995892313501525E-7</v>
      </c>
      <c r="G24" s="19">
        <v>1576.6829050794026</v>
      </c>
      <c r="H24" s="19">
        <v>3545.8492008627068</v>
      </c>
      <c r="I24" s="19">
        <v>1576.6829050794026</v>
      </c>
      <c r="J24" s="19">
        <v>3545.8492008627068</v>
      </c>
    </row>
    <row r="27" spans="2:15" ht="30">
      <c r="B27" s="11" t="s">
        <v>120</v>
      </c>
      <c r="C27" s="11" t="s">
        <v>121</v>
      </c>
      <c r="D27" s="11" t="s">
        <v>122</v>
      </c>
      <c r="E27" s="11" t="s">
        <v>123</v>
      </c>
    </row>
    <row r="28" spans="2:15" ht="15">
      <c r="B28" s="11" t="s">
        <v>20</v>
      </c>
      <c r="C28" s="8">
        <f>IF(B28="North",1,0)</f>
        <v>1</v>
      </c>
      <c r="D28" s="8">
        <f>IF(B28="South",1,0)</f>
        <v>0</v>
      </c>
      <c r="E28" s="8">
        <f>IF(B28="East",1,0)</f>
        <v>0</v>
      </c>
    </row>
    <row r="29" spans="2:15" ht="15">
      <c r="B29" s="11" t="s">
        <v>24</v>
      </c>
      <c r="C29" s="8">
        <f t="shared" ref="C29:C31" si="0">IF(B29="North",1,0)</f>
        <v>0</v>
      </c>
      <c r="D29" s="8">
        <f t="shared" ref="D29:D31" si="1">IF(B29="South",1,0)</f>
        <v>1</v>
      </c>
      <c r="E29" s="8">
        <f t="shared" ref="E29:E31" si="2">IF(B29="East",1,0)</f>
        <v>0</v>
      </c>
    </row>
    <row r="30" spans="2:15" ht="15">
      <c r="B30" s="11" t="s">
        <v>15</v>
      </c>
      <c r="C30" s="8">
        <f t="shared" si="0"/>
        <v>0</v>
      </c>
      <c r="D30" s="8">
        <f t="shared" si="1"/>
        <v>0</v>
      </c>
      <c r="E30" s="8">
        <f t="shared" si="2"/>
        <v>1</v>
      </c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2:15" ht="15">
      <c r="B31" s="11" t="s">
        <v>124</v>
      </c>
      <c r="C31" s="8">
        <f t="shared" si="0"/>
        <v>0</v>
      </c>
      <c r="D31" s="8">
        <f t="shared" si="1"/>
        <v>0</v>
      </c>
      <c r="E31" s="8">
        <f t="shared" si="2"/>
        <v>0</v>
      </c>
    </row>
    <row r="34" spans="3:18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</sheetData>
  <mergeCells count="1">
    <mergeCell ref="C34:R34"/>
  </mergeCells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4279-B453-4D23-85CA-B8C62C215148}">
  <dimension ref="A1:Q307"/>
  <sheetViews>
    <sheetView topLeftCell="H1" workbookViewId="0">
      <selection activeCell="T14" sqref="T14"/>
    </sheetView>
  </sheetViews>
  <sheetFormatPr defaultRowHeight="14.25"/>
  <cols>
    <col min="1" max="1" width="16" style="9" customWidth="1"/>
    <col min="2" max="2" width="19.25" customWidth="1"/>
    <col min="3" max="3" width="13.125" customWidth="1"/>
    <col min="4" max="4" width="17" customWidth="1"/>
    <col min="5" max="5" width="18" customWidth="1"/>
    <col min="6" max="7" width="16" style="21" customWidth="1"/>
    <col min="8" max="8" width="27.625" style="21" customWidth="1"/>
    <col min="9" max="9" width="16" style="21" customWidth="1"/>
    <col min="10" max="10" width="16" style="9" customWidth="1"/>
    <col min="11" max="11" width="13.75" style="9" customWidth="1"/>
    <col min="15" max="15" width="13.875" customWidth="1"/>
    <col min="16" max="16" width="15" bestFit="1" customWidth="1"/>
    <col min="17" max="17" width="15.625" customWidth="1"/>
  </cols>
  <sheetData>
    <row r="1" spans="1:17" ht="30">
      <c r="A1" s="6" t="s">
        <v>0</v>
      </c>
      <c r="B1" s="35" t="s">
        <v>120</v>
      </c>
      <c r="C1" s="11" t="s">
        <v>121</v>
      </c>
      <c r="D1" s="11" t="s">
        <v>122</v>
      </c>
      <c r="E1" s="11" t="s">
        <v>123</v>
      </c>
      <c r="F1" s="28" t="s">
        <v>4</v>
      </c>
      <c r="G1" s="28" t="s">
        <v>5</v>
      </c>
      <c r="H1" s="28" t="s">
        <v>8</v>
      </c>
      <c r="I1" s="28" t="s">
        <v>12</v>
      </c>
      <c r="J1" s="29" t="s">
        <v>188</v>
      </c>
      <c r="K1" s="29" t="s">
        <v>140</v>
      </c>
    </row>
    <row r="2" spans="1:17" ht="15">
      <c r="A2" s="36" t="s">
        <v>49</v>
      </c>
      <c r="B2" s="37"/>
      <c r="C2" s="8">
        <f>IF(B2="North",1,0)</f>
        <v>0</v>
      </c>
      <c r="D2" s="8">
        <f>IF(B2="South",1,0)</f>
        <v>0</v>
      </c>
      <c r="E2" s="8">
        <f>IF(B2="East",1,0)</f>
        <v>0</v>
      </c>
      <c r="F2" s="30">
        <v>52758.01</v>
      </c>
      <c r="G2" s="30">
        <v>4063</v>
      </c>
      <c r="H2" s="30">
        <v>91.7</v>
      </c>
      <c r="I2" s="30">
        <v>713611.16</v>
      </c>
      <c r="J2" s="31">
        <f>167465.0014 -(64890.80823*C2)-(88660.97356*D2)-(93638.37558*E2)+(1.166639942*F2)+(33.97310595*G2)+(2561.266053*H2)</f>
        <v>601915.42966138548</v>
      </c>
      <c r="K2" s="32">
        <f>I2-J2</f>
        <v>111695.73033861455</v>
      </c>
      <c r="O2" s="39" t="s">
        <v>189</v>
      </c>
      <c r="P2" s="39"/>
      <c r="Q2" s="39"/>
    </row>
    <row r="3" spans="1:17">
      <c r="A3" s="36" t="s">
        <v>47</v>
      </c>
      <c r="B3" s="37"/>
      <c r="C3" s="8">
        <f>IF(B3="North",1,0)</f>
        <v>0</v>
      </c>
      <c r="D3" s="8">
        <f>IF(B3="South",1,0)</f>
        <v>0</v>
      </c>
      <c r="E3" s="8">
        <f>IF(B3="East",1,0)</f>
        <v>0</v>
      </c>
      <c r="F3" s="30">
        <v>32266.639999999999</v>
      </c>
      <c r="G3" s="30">
        <v>2414</v>
      </c>
      <c r="H3" s="30">
        <v>92.1</v>
      </c>
      <c r="I3" s="30">
        <v>625514.04</v>
      </c>
      <c r="J3" s="31">
        <f>167465.0014 -(64890.80823*C3)-(88660.97356*D3)-(93638.37558*E3)+(1.166639942*F3)+(33.97310595*G3)+(2561.266053*H3)</f>
        <v>523012.23366273486</v>
      </c>
      <c r="K3" s="32">
        <f>I3-J3</f>
        <v>102501.80633726518</v>
      </c>
    </row>
    <row r="4" spans="1:17" ht="15">
      <c r="A4" s="36" t="s">
        <v>72</v>
      </c>
      <c r="B4" s="37"/>
      <c r="C4" s="8">
        <f>IF(B4="North",1,0)</f>
        <v>0</v>
      </c>
      <c r="D4" s="8">
        <f>IF(B4="South",1,0)</f>
        <v>0</v>
      </c>
      <c r="E4" s="8">
        <f>IF(B4="East",1,0)</f>
        <v>0</v>
      </c>
      <c r="F4" s="30">
        <v>78111.97</v>
      </c>
      <c r="G4" s="30">
        <v>6389</v>
      </c>
      <c r="H4" s="30">
        <v>83.9</v>
      </c>
      <c r="I4" s="30">
        <v>787715.51</v>
      </c>
      <c r="J4" s="31">
        <f>167465.0014 -(64890.80823*C4)-(88660.97356*D4)-(93638.37558*E4)+(1.166639942*F4)+(33.97310595*G4)+(2561.266053*H4)</f>
        <v>690537.94131155568</v>
      </c>
      <c r="K4" s="32">
        <f>I4-J4</f>
        <v>97177.568688444328</v>
      </c>
      <c r="O4" s="40" t="s">
        <v>0</v>
      </c>
      <c r="P4" s="40" t="s">
        <v>188</v>
      </c>
      <c r="Q4" s="40" t="s">
        <v>140</v>
      </c>
    </row>
    <row r="5" spans="1:17" ht="15">
      <c r="A5" s="36" t="s">
        <v>53</v>
      </c>
      <c r="B5" s="37"/>
      <c r="C5" s="8">
        <f>IF(B5="North",1,0)</f>
        <v>0</v>
      </c>
      <c r="D5" s="8">
        <f>IF(B5="South",1,0)</f>
        <v>0</v>
      </c>
      <c r="E5" s="8">
        <f>IF(B5="East",1,0)</f>
        <v>0</v>
      </c>
      <c r="F5" s="30">
        <v>61541.21</v>
      </c>
      <c r="G5" s="30">
        <v>10396</v>
      </c>
      <c r="H5" s="30">
        <v>88.1</v>
      </c>
      <c r="I5" s="30">
        <v>914544.17</v>
      </c>
      <c r="J5" s="31">
        <f>167465.0014 -(64890.80823*C5)-(88660.97356*D5)-(93638.37558*E5)+(1.166639942*F5)+(33.97310595*G5)+(2561.266053*H5)</f>
        <v>818093.38379050978</v>
      </c>
      <c r="K5" s="32">
        <f>I5-J5</f>
        <v>96450.786209490267</v>
      </c>
      <c r="O5" s="40" t="s">
        <v>49</v>
      </c>
      <c r="P5" s="38">
        <v>601915.42966138548</v>
      </c>
      <c r="Q5" s="38">
        <v>111695.73033861455</v>
      </c>
    </row>
    <row r="6" spans="1:17" ht="15">
      <c r="A6" s="36" t="s">
        <v>85</v>
      </c>
      <c r="C6" s="8">
        <f>IF(B6="North",1,0)</f>
        <v>0</v>
      </c>
      <c r="D6" s="8">
        <f>IF(B6="South",1,0)</f>
        <v>0</v>
      </c>
      <c r="E6" s="8">
        <f>IF(B6="East",1,0)</f>
        <v>0</v>
      </c>
      <c r="F6" s="30">
        <v>63582.11</v>
      </c>
      <c r="G6" s="30">
        <v>6856</v>
      </c>
      <c r="H6" s="30">
        <v>89.5</v>
      </c>
      <c r="I6" s="30">
        <v>799046.94</v>
      </c>
      <c r="J6" s="31">
        <f>167465.0014 -(64890.80823*C6)-(88660.97356*D6)-(93638.37558*E6)+(1.166639942*F6)+(33.97310595*G6)+(2561.266053*H6)</f>
        <v>703795.35665933753</v>
      </c>
      <c r="K6" s="32">
        <f>I6-J6</f>
        <v>95251.583340662415</v>
      </c>
      <c r="O6" s="40" t="s">
        <v>47</v>
      </c>
      <c r="P6" s="38">
        <v>523012.23366273486</v>
      </c>
      <c r="Q6" s="38">
        <v>102501.80633726518</v>
      </c>
    </row>
    <row r="7" spans="1:17" ht="15">
      <c r="A7" s="36" t="s">
        <v>86</v>
      </c>
      <c r="C7" s="8">
        <f>IF(B7="North",1,0)</f>
        <v>0</v>
      </c>
      <c r="D7" s="8">
        <f>IF(B7="South",1,0)</f>
        <v>0</v>
      </c>
      <c r="E7" s="8">
        <f>IF(B7="East",1,0)</f>
        <v>0</v>
      </c>
      <c r="F7" s="30">
        <v>65272.58</v>
      </c>
      <c r="G7" s="30">
        <v>8165</v>
      </c>
      <c r="H7" s="30">
        <v>87.8</v>
      </c>
      <c r="I7" s="30">
        <v>840108.12</v>
      </c>
      <c r="J7" s="31">
        <f>167465.0014 -(64890.80823*C7)-(88660.97356*D7)-(93638.37558*E7)+(1.166639942*F7)+(33.97310595*G7)+(2561.266053*H7)</f>
        <v>745884.16988054034</v>
      </c>
      <c r="K7" s="32">
        <f>I7-J7</f>
        <v>94223.950119459652</v>
      </c>
      <c r="O7" s="40" t="s">
        <v>72</v>
      </c>
      <c r="P7" s="38">
        <v>690537.94131155568</v>
      </c>
      <c r="Q7" s="38">
        <v>97177.568688444328</v>
      </c>
    </row>
    <row r="8" spans="1:17" ht="15">
      <c r="A8" s="36" t="s">
        <v>42</v>
      </c>
      <c r="C8" s="8">
        <f>IF(B8="North",1,0)</f>
        <v>0</v>
      </c>
      <c r="D8" s="8">
        <f>IF(B8="South",1,0)</f>
        <v>0</v>
      </c>
      <c r="E8" s="8">
        <f>IF(B8="East",1,0)</f>
        <v>0</v>
      </c>
      <c r="F8" s="30">
        <v>72731.14</v>
      </c>
      <c r="G8" s="30">
        <v>4644</v>
      </c>
      <c r="H8" s="30">
        <v>87.1</v>
      </c>
      <c r="I8" s="30">
        <v>727241.86</v>
      </c>
      <c r="J8" s="31">
        <f>167465.0014 -(64890.80823*C8)-(88660.97356*D8)-(93638.37558*E8)+(1.166639942*F8)+(33.97310595*G8)+(2561.266053*H8)</f>
        <v>633173.43159929384</v>
      </c>
      <c r="K8" s="32">
        <f>I8-J8</f>
        <v>94068.428400706151</v>
      </c>
      <c r="O8" s="40" t="s">
        <v>53</v>
      </c>
      <c r="P8" s="38">
        <v>818093.38379050978</v>
      </c>
      <c r="Q8" s="38">
        <v>96450.786209490267</v>
      </c>
    </row>
    <row r="9" spans="1:17" ht="15">
      <c r="A9" s="36" t="s">
        <v>94</v>
      </c>
      <c r="C9" s="8">
        <f>IF(B9="North",1,0)</f>
        <v>0</v>
      </c>
      <c r="D9" s="8">
        <f>IF(B9="South",1,0)</f>
        <v>0</v>
      </c>
      <c r="E9" s="8">
        <f>IF(B9="East",1,0)</f>
        <v>0</v>
      </c>
      <c r="F9" s="30">
        <v>56737.3</v>
      </c>
      <c r="G9" s="30">
        <v>8300</v>
      </c>
      <c r="H9" s="30">
        <v>83.2</v>
      </c>
      <c r="I9" s="30">
        <v>813316.71</v>
      </c>
      <c r="J9" s="31">
        <f>167465.0014 -(64890.80823*C9)-(88660.97356*D9)-(93638.37558*E9)+(1.166639942*F9)+(33.97310595*G9)+(2561.266053*H9)</f>
        <v>728731.11677583656</v>
      </c>
      <c r="K9" s="32">
        <f>I9-J9</f>
        <v>84585.5932241634</v>
      </c>
      <c r="O9" s="40" t="s">
        <v>85</v>
      </c>
      <c r="P9" s="38">
        <v>703795.35665933753</v>
      </c>
      <c r="Q9" s="38">
        <v>95251.583340662415</v>
      </c>
    </row>
    <row r="10" spans="1:17">
      <c r="A10" s="36" t="s">
        <v>51</v>
      </c>
      <c r="C10" s="8">
        <f>IF(B10="North",1,0)</f>
        <v>0</v>
      </c>
      <c r="D10" s="8">
        <f>IF(B10="South",1,0)</f>
        <v>0</v>
      </c>
      <c r="E10" s="8">
        <f>IF(B10="East",1,0)</f>
        <v>0</v>
      </c>
      <c r="F10" s="30">
        <v>57360.01</v>
      </c>
      <c r="G10" s="30">
        <v>8434</v>
      </c>
      <c r="H10" s="30">
        <v>84.1</v>
      </c>
      <c r="I10" s="30">
        <v>820519.04</v>
      </c>
      <c r="J10" s="31">
        <f>167465.0014 -(64890.80823*C10)-(88660.97356*D10)-(93638.37558*E10)+(1.166639942*F10)+(33.97310595*G10)+(2561.266053*H10)</f>
        <v>736315.13077911944</v>
      </c>
      <c r="K10" s="32">
        <f>I10-J10</f>
        <v>84203.909220880596</v>
      </c>
    </row>
    <row r="11" spans="1:17">
      <c r="A11" s="36" t="s">
        <v>96</v>
      </c>
      <c r="C11" s="8">
        <f>IF(B11="North",1,0)</f>
        <v>0</v>
      </c>
      <c r="D11" s="8">
        <f>IF(B11="South",1,0)</f>
        <v>0</v>
      </c>
      <c r="E11" s="8">
        <f>IF(B11="East",1,0)</f>
        <v>0</v>
      </c>
      <c r="F11" s="30">
        <v>55477.61</v>
      </c>
      <c r="G11" s="30">
        <v>5903</v>
      </c>
      <c r="H11" s="30">
        <v>96.2</v>
      </c>
      <c r="I11" s="30">
        <v>763162.45</v>
      </c>
      <c r="J11" s="31">
        <f>167465.0014 -(64890.80823*C11)-(88660.97356*D11)-(93638.37558*E11)+(1.166639942*F11)+(33.97310595*G11)+(2561.266053*H11)</f>
        <v>679124.43583414867</v>
      </c>
      <c r="K11" s="32">
        <f>I11-J11</f>
        <v>84038.014165851288</v>
      </c>
    </row>
    <row r="12" spans="1:17">
      <c r="A12" s="36" t="s">
        <v>62</v>
      </c>
      <c r="C12" s="8">
        <f>IF(B12="North",1,0)</f>
        <v>0</v>
      </c>
      <c r="D12" s="8">
        <f>IF(B12="South",1,0)</f>
        <v>0</v>
      </c>
      <c r="E12" s="8">
        <f>IF(B12="East",1,0)</f>
        <v>0</v>
      </c>
      <c r="F12" s="30">
        <v>48438.85</v>
      </c>
      <c r="G12" s="30">
        <v>6992</v>
      </c>
      <c r="H12" s="30">
        <v>91</v>
      </c>
      <c r="I12" s="30">
        <v>778298.88</v>
      </c>
      <c r="J12" s="31">
        <f>167465.0014 -(64890.80823*C12)-(88660.97356*D12)-(93638.37558*E12)+(1.166639942*F12)+(33.97310595*G12)+(2561.266053*H12)</f>
        <v>694590.86617994658</v>
      </c>
      <c r="K12" s="32">
        <f>I12-J12</f>
        <v>83708.013820053427</v>
      </c>
    </row>
    <row r="13" spans="1:17" ht="15">
      <c r="A13" s="36" t="s">
        <v>46</v>
      </c>
      <c r="C13" s="8">
        <f>IF(B13="North",1,0)</f>
        <v>0</v>
      </c>
      <c r="D13" s="8">
        <f>IF(B13="South",1,0)</f>
        <v>0</v>
      </c>
      <c r="E13" s="8">
        <f>IF(B13="East",1,0)</f>
        <v>0</v>
      </c>
      <c r="F13" s="30">
        <v>78839.39</v>
      </c>
      <c r="G13" s="30">
        <v>5150</v>
      </c>
      <c r="H13" s="30">
        <v>85.8</v>
      </c>
      <c r="I13" s="30">
        <v>735509.4</v>
      </c>
      <c r="J13" s="31">
        <f>167465.0014 -(64890.80823*C13)-(88660.97356*D13)-(93638.37558*E13)+(1.166639942*F13)+(33.97310595*G13)+(2561.266053*H13)</f>
        <v>654160.30576681532</v>
      </c>
      <c r="K13" s="32">
        <f>I13-J13</f>
        <v>81349.094233184704</v>
      </c>
      <c r="O13" s="39" t="s">
        <v>190</v>
      </c>
      <c r="P13" s="39"/>
      <c r="Q13" s="39"/>
    </row>
    <row r="14" spans="1:17">
      <c r="A14" s="36" t="s">
        <v>66</v>
      </c>
      <c r="C14" s="8">
        <f>IF(B14="North",1,0)</f>
        <v>0</v>
      </c>
      <c r="D14" s="8">
        <f>IF(B14="South",1,0)</f>
        <v>0</v>
      </c>
      <c r="E14" s="8">
        <f>IF(B14="East",1,0)</f>
        <v>0</v>
      </c>
      <c r="F14" s="30">
        <v>29389.32</v>
      </c>
      <c r="G14" s="30">
        <v>7925</v>
      </c>
      <c r="H14" s="30">
        <v>90.9</v>
      </c>
      <c r="I14" s="30">
        <v>783582</v>
      </c>
      <c r="J14" s="31">
        <f>167465.0014 -(64890.80823*C14)-(88660.97356*D14)-(93638.37558*E14)+(1.166639942*F14)+(33.97310595*G14)+(2561.266053*H14)</f>
        <v>703807.70485166949</v>
      </c>
      <c r="K14" s="32">
        <f>I14-J14</f>
        <v>79774.295148330508</v>
      </c>
    </row>
    <row r="15" spans="1:17" ht="15">
      <c r="A15" s="36" t="s">
        <v>19</v>
      </c>
      <c r="C15" s="8">
        <f>IF(B15="North",1,0)</f>
        <v>0</v>
      </c>
      <c r="D15" s="8">
        <f>IF(B15="South",1,0)</f>
        <v>0</v>
      </c>
      <c r="E15" s="8">
        <f>IF(B15="East",1,0)</f>
        <v>0</v>
      </c>
      <c r="F15" s="30">
        <v>71838.86</v>
      </c>
      <c r="G15" s="30">
        <v>10979</v>
      </c>
      <c r="H15" s="30">
        <v>88.6</v>
      </c>
      <c r="I15" s="30">
        <v>930581.7</v>
      </c>
      <c r="J15" s="31">
        <f>167465.0014 -(64890.80823*C15)-(88660.97356*D15)-(93638.37558*E15)+(1.166639942*F15)+(33.97310595*G15)+(2561.266053*H15)</f>
        <v>851193.98738459602</v>
      </c>
      <c r="K15" s="32">
        <f>I15-J15</f>
        <v>79387.712615403929</v>
      </c>
      <c r="O15" s="40" t="s">
        <v>0</v>
      </c>
      <c r="P15" s="40" t="s">
        <v>188</v>
      </c>
      <c r="Q15" s="40" t="s">
        <v>140</v>
      </c>
    </row>
    <row r="16" spans="1:17" ht="15">
      <c r="A16" s="36" t="s">
        <v>71</v>
      </c>
      <c r="C16" s="8">
        <f>IF(B16="North",1,0)</f>
        <v>0</v>
      </c>
      <c r="D16" s="8">
        <f>IF(B16="South",1,0)</f>
        <v>0</v>
      </c>
      <c r="E16" s="8">
        <f>IF(B16="East",1,0)</f>
        <v>0</v>
      </c>
      <c r="F16" s="30">
        <v>61391.8</v>
      </c>
      <c r="G16" s="30">
        <v>5575</v>
      </c>
      <c r="H16" s="30">
        <v>90</v>
      </c>
      <c r="I16" s="30">
        <v>735786.64</v>
      </c>
      <c r="J16" s="31">
        <f>167465.0014 -(64890.80823*C16)-(88660.97356*D16)-(93638.37558*E16)+(1.166639942*F16)+(33.97310595*G16)+(2561.266053*H16)</f>
        <v>659001.13783252554</v>
      </c>
      <c r="K16" s="32">
        <f>I16-J16</f>
        <v>76785.502167474478</v>
      </c>
      <c r="O16" s="40" t="s">
        <v>38</v>
      </c>
      <c r="P16" s="38">
        <v>840691.73423552606</v>
      </c>
      <c r="Q16" s="38">
        <v>-155312.6542355261</v>
      </c>
    </row>
    <row r="17" spans="1:17" ht="15">
      <c r="A17" s="36" t="s">
        <v>90</v>
      </c>
      <c r="C17" s="8">
        <f>IF(B17="North",1,0)</f>
        <v>0</v>
      </c>
      <c r="D17" s="8">
        <f>IF(B17="South",1,0)</f>
        <v>0</v>
      </c>
      <c r="E17" s="8">
        <f>IF(B17="East",1,0)</f>
        <v>0</v>
      </c>
      <c r="F17" s="30">
        <v>38297.58</v>
      </c>
      <c r="G17" s="30">
        <v>5893</v>
      </c>
      <c r="H17" s="30">
        <v>77.599999999999994</v>
      </c>
      <c r="I17" s="30">
        <v>686737.87</v>
      </c>
      <c r="J17" s="31">
        <f>167465.0014 -(64890.80823*C17)-(88660.97356*D17)-(93638.37558*E17)+(1.166639942*F17)+(33.97310595*G17)+(2561.266053*H17)</f>
        <v>611102.24698609032</v>
      </c>
      <c r="K17" s="32">
        <f>I17-J17</f>
        <v>75635.623013909673</v>
      </c>
      <c r="O17" s="40" t="s">
        <v>33</v>
      </c>
      <c r="P17" s="38">
        <v>730154.68152013049</v>
      </c>
      <c r="Q17" s="38">
        <v>-134687.08152013051</v>
      </c>
    </row>
    <row r="18" spans="1:17" ht="15">
      <c r="A18" s="36" t="s">
        <v>80</v>
      </c>
      <c r="C18" s="8">
        <f>IF(B18="North",1,0)</f>
        <v>0</v>
      </c>
      <c r="D18" s="8">
        <f>IF(B18="South",1,0)</f>
        <v>0</v>
      </c>
      <c r="E18" s="8">
        <f>IF(B18="East",1,0)</f>
        <v>0</v>
      </c>
      <c r="F18" s="30">
        <v>61650.79</v>
      </c>
      <c r="G18" s="30">
        <v>5321</v>
      </c>
      <c r="H18" s="30">
        <v>89.2</v>
      </c>
      <c r="I18" s="30">
        <v>723305.11</v>
      </c>
      <c r="J18" s="31">
        <f>167465.0014 -(64890.80823*C18)-(88660.97356*D18)-(93638.37558*E18)+(1.166639942*F18)+(33.97310595*G18)+(2561.266053*H18)</f>
        <v>648625.10415740416</v>
      </c>
      <c r="K18" s="32">
        <f>I18-J18</f>
        <v>74680.005842595827</v>
      </c>
      <c r="O18" s="40" t="s">
        <v>30</v>
      </c>
      <c r="P18" s="38">
        <v>764846.88884197583</v>
      </c>
      <c r="Q18" s="38">
        <v>-122981.8588419758</v>
      </c>
    </row>
    <row r="19" spans="1:17" ht="15">
      <c r="A19" s="36" t="s">
        <v>48</v>
      </c>
      <c r="C19" s="8">
        <f>IF(B19="North",1,0)</f>
        <v>0</v>
      </c>
      <c r="D19" s="8">
        <f>IF(B19="South",1,0)</f>
        <v>0</v>
      </c>
      <c r="E19" s="8">
        <f>IF(B19="East",1,0)</f>
        <v>0</v>
      </c>
      <c r="F19" s="30">
        <v>64294.23</v>
      </c>
      <c r="G19" s="30">
        <v>6992</v>
      </c>
      <c r="H19" s="30">
        <v>94.1</v>
      </c>
      <c r="I19" s="30">
        <v>795153.84</v>
      </c>
      <c r="J19" s="31">
        <f>167465.0014 -(64890.80823*C19)-(88660.97356*D19)-(93638.37558*E19)+(1.166639942*F19)+(33.97310595*G19)+(2561.266053*H19)</f>
        <v>721028.31054783461</v>
      </c>
      <c r="K19" s="32">
        <f>I19-J19</f>
        <v>74125.529452165356</v>
      </c>
      <c r="O19" s="40" t="s">
        <v>14</v>
      </c>
      <c r="P19" s="38">
        <v>776770.5991456653</v>
      </c>
      <c r="Q19" s="38">
        <v>-117850.29914566525</v>
      </c>
    </row>
    <row r="20" spans="1:17" ht="15">
      <c r="A20" s="36" t="s">
        <v>66</v>
      </c>
      <c r="C20" s="8">
        <f>IF(B20="North",1,0)</f>
        <v>0</v>
      </c>
      <c r="D20" s="8">
        <f>IF(B20="South",1,0)</f>
        <v>0</v>
      </c>
      <c r="E20" s="8">
        <f>IF(B20="East",1,0)</f>
        <v>0</v>
      </c>
      <c r="F20" s="30">
        <v>74881.56</v>
      </c>
      <c r="G20" s="30">
        <v>9999</v>
      </c>
      <c r="H20" s="30">
        <v>89.6</v>
      </c>
      <c r="I20" s="30">
        <v>898031.04</v>
      </c>
      <c r="J20" s="31">
        <f>167465.0014 -(64890.80823*C20)-(88660.97356*D20)-(93638.37558*E20)+(1.166639942*F20)+(33.97310595*G20)+(2561.266053*H20)</f>
        <v>824011.34495811944</v>
      </c>
      <c r="K20" s="32">
        <f>I20-J20</f>
        <v>74019.695041880594</v>
      </c>
      <c r="O20" s="40" t="s">
        <v>44</v>
      </c>
      <c r="P20" s="38">
        <v>738876.4758572632</v>
      </c>
      <c r="Q20" s="38">
        <v>-111704.57585726317</v>
      </c>
    </row>
    <row r="21" spans="1:17">
      <c r="A21" s="36" t="s">
        <v>32</v>
      </c>
      <c r="C21" s="8">
        <f>IF(B21="North",1,0)</f>
        <v>0</v>
      </c>
      <c r="D21" s="8">
        <f>IF(B21="South",1,0)</f>
        <v>0</v>
      </c>
      <c r="E21" s="8">
        <f>IF(B21="East",1,0)</f>
        <v>0</v>
      </c>
      <c r="F21" s="30">
        <v>68077.539999999994</v>
      </c>
      <c r="G21" s="30">
        <v>3360</v>
      </c>
      <c r="H21" s="30">
        <v>88.2</v>
      </c>
      <c r="I21" s="30">
        <v>657429.18000000005</v>
      </c>
      <c r="J21" s="31">
        <f>167465.0014 -(64890.80823*C21)-(88660.97356*D21)-(93638.37558*E21)+(1.166639942*F21)+(33.97310595*G21)+(2561.266053*H21)</f>
        <v>586940.28058370273</v>
      </c>
      <c r="K21" s="32">
        <f>I21-J21</f>
        <v>70488.899416297325</v>
      </c>
    </row>
    <row r="22" spans="1:17">
      <c r="A22" s="36" t="s">
        <v>37</v>
      </c>
      <c r="C22" s="8">
        <f>IF(B22="North",1,0)</f>
        <v>0</v>
      </c>
      <c r="D22" s="8">
        <f>IF(B22="South",1,0)</f>
        <v>0</v>
      </c>
      <c r="E22" s="8">
        <f>IF(B22="East",1,0)</f>
        <v>0</v>
      </c>
      <c r="F22" s="30">
        <v>74907.98</v>
      </c>
      <c r="G22" s="30">
        <v>5306</v>
      </c>
      <c r="H22" s="30">
        <v>95.6</v>
      </c>
      <c r="I22" s="30">
        <v>749559.71</v>
      </c>
      <c r="J22" s="31">
        <f>167465.0014 -(64890.80823*C22)-(88660.97356*D22)-(93638.37558*E22)+(1.166639942*F22)+(33.97310595*G22)+(2561.266053*H22)</f>
        <v>679973.97768003703</v>
      </c>
      <c r="K22" s="32">
        <f>I22-J22</f>
        <v>69585.732319962932</v>
      </c>
    </row>
    <row r="23" spans="1:17">
      <c r="A23" s="36" t="s">
        <v>87</v>
      </c>
      <c r="C23" s="8">
        <f>IF(B23="North",1,0)</f>
        <v>0</v>
      </c>
      <c r="D23" s="8">
        <f>IF(B23="South",1,0)</f>
        <v>0</v>
      </c>
      <c r="E23" s="8">
        <f>IF(B23="East",1,0)</f>
        <v>0</v>
      </c>
      <c r="F23" s="30">
        <v>51450.55</v>
      </c>
      <c r="G23" s="30">
        <v>4902</v>
      </c>
      <c r="H23" s="30">
        <v>83.7</v>
      </c>
      <c r="I23" s="30">
        <v>677640.65</v>
      </c>
      <c r="J23" s="31">
        <f>167465.0014 -(64890.80823*C23)-(88660.97356*D23)-(93638.37558*E23)+(1.166639942*F23)+(33.97310595*G23)+(2561.266053*H23)</f>
        <v>608403.40207086806</v>
      </c>
      <c r="K23" s="32">
        <f>I23-J23</f>
        <v>69237.247929131961</v>
      </c>
    </row>
    <row r="24" spans="1:17">
      <c r="A24" s="36" t="s">
        <v>40</v>
      </c>
      <c r="C24" s="8">
        <f>IF(B24="North",1,0)</f>
        <v>0</v>
      </c>
      <c r="D24" s="8">
        <f>IF(B24="South",1,0)</f>
        <v>0</v>
      </c>
      <c r="E24" s="8">
        <f>IF(B24="East",1,0)</f>
        <v>0</v>
      </c>
      <c r="F24" s="30">
        <v>70144.78</v>
      </c>
      <c r="G24" s="30">
        <v>6806</v>
      </c>
      <c r="H24" s="30">
        <v>93.1</v>
      </c>
      <c r="I24" s="30">
        <v>788087.68</v>
      </c>
      <c r="J24" s="31">
        <f>167465.0014 -(64890.80823*C24)-(88660.97356*D24)-(93638.37558*E24)+(1.166639942*F24)+(33.97310595*G24)+(2561.266053*H24)</f>
        <v>718973.53210080264</v>
      </c>
      <c r="K24" s="32">
        <f>I24-J24</f>
        <v>69114.147899197415</v>
      </c>
    </row>
    <row r="25" spans="1:17">
      <c r="A25" s="36" t="s">
        <v>68</v>
      </c>
      <c r="C25" s="8">
        <f>IF(B25="North",1,0)</f>
        <v>0</v>
      </c>
      <c r="D25" s="8">
        <f>IF(B25="South",1,0)</f>
        <v>0</v>
      </c>
      <c r="E25" s="8">
        <f>IF(B25="East",1,0)</f>
        <v>0</v>
      </c>
      <c r="F25" s="30">
        <v>48031.74</v>
      </c>
      <c r="G25" s="30">
        <v>6516</v>
      </c>
      <c r="H25" s="30">
        <v>99</v>
      </c>
      <c r="I25" s="30">
        <v>765906.95</v>
      </c>
      <c r="J25" s="31">
        <f>167465.0014 -(64890.80823*C25)-(88660.97356*D25)-(93638.37558*E25)+(1.166639942*F25)+(33.97310595*G25)+(2561.266053*H25)</f>
        <v>698434.84538495913</v>
      </c>
      <c r="K25" s="32">
        <f>I25-J25</f>
        <v>67472.104615040822</v>
      </c>
    </row>
    <row r="26" spans="1:17">
      <c r="A26" s="36" t="s">
        <v>17</v>
      </c>
      <c r="C26" s="8">
        <f>IF(B26="North",1,0)</f>
        <v>0</v>
      </c>
      <c r="D26" s="8">
        <f>IF(B26="South",1,0)</f>
        <v>0</v>
      </c>
      <c r="E26" s="8">
        <f>IF(B26="East",1,0)</f>
        <v>0</v>
      </c>
      <c r="F26" s="30">
        <v>68148.52</v>
      </c>
      <c r="G26" s="30">
        <v>8567</v>
      </c>
      <c r="H26" s="30">
        <v>95.6</v>
      </c>
      <c r="I26" s="30">
        <v>850164.26</v>
      </c>
      <c r="J26" s="31">
        <f>167465.0014 -(64890.80823*C26)-(88660.97356*D26)-(93638.37558*E26)+(1.166639942*F26)+(33.97310595*G26)+(2561.266053*H26)</f>
        <v>782874.42016063572</v>
      </c>
      <c r="K26" s="32">
        <f>I26-J26</f>
        <v>67289.839839364286</v>
      </c>
    </row>
    <row r="27" spans="1:17">
      <c r="A27" s="36" t="s">
        <v>45</v>
      </c>
      <c r="C27" s="8">
        <f>IF(B27="North",1,0)</f>
        <v>0</v>
      </c>
      <c r="D27" s="8">
        <f>IF(B27="South",1,0)</f>
        <v>0</v>
      </c>
      <c r="E27" s="8">
        <f>IF(B27="East",1,0)</f>
        <v>0</v>
      </c>
      <c r="F27" s="30">
        <v>86421.88</v>
      </c>
      <c r="G27" s="30">
        <v>7970</v>
      </c>
      <c r="H27" s="30">
        <v>91.3</v>
      </c>
      <c r="I27" s="30">
        <v>838250.32</v>
      </c>
      <c r="J27" s="31">
        <f>167465.0014 -(64890.80823*C27)-(88660.97356*D27)-(93638.37558*E27)+(1.166639942*F27)+(33.97310595*G27)+(2561.266053*H27)</f>
        <v>772897.46353113092</v>
      </c>
      <c r="K27" s="32">
        <f>I27-J27</f>
        <v>65352.856468869024</v>
      </c>
    </row>
    <row r="28" spans="1:17">
      <c r="A28" s="36" t="s">
        <v>19</v>
      </c>
      <c r="C28" s="8">
        <f>IF(B28="North",1,0)</f>
        <v>0</v>
      </c>
      <c r="D28" s="8">
        <f>IF(B28="South",1,0)</f>
        <v>0</v>
      </c>
      <c r="E28" s="8">
        <f>IF(B28="East",1,0)</f>
        <v>0</v>
      </c>
      <c r="F28" s="30">
        <v>67979.88</v>
      </c>
      <c r="G28" s="30">
        <v>11230</v>
      </c>
      <c r="H28" s="30">
        <v>85.3</v>
      </c>
      <c r="I28" s="30">
        <v>910791.94</v>
      </c>
      <c r="J28" s="31">
        <f>167465.0014 -(64890.80823*C28)-(88660.97356*D28)-(93638.37558*E28)+(1.166639942*F28)+(33.97310595*G28)+(2561.266053*H28)</f>
        <v>846767.0187997669</v>
      </c>
      <c r="K28" s="32">
        <f>I28-J28</f>
        <v>64024.921200233046</v>
      </c>
    </row>
    <row r="29" spans="1:17">
      <c r="A29" s="36" t="s">
        <v>42</v>
      </c>
      <c r="C29" s="8">
        <f>IF(B29="North",1,0)</f>
        <v>0</v>
      </c>
      <c r="D29" s="8">
        <f>IF(B29="South",1,0)</f>
        <v>0</v>
      </c>
      <c r="E29" s="8">
        <f>IF(B29="East",1,0)</f>
        <v>0</v>
      </c>
      <c r="F29" s="30">
        <v>60628.38</v>
      </c>
      <c r="G29" s="30">
        <v>4451</v>
      </c>
      <c r="H29" s="30">
        <v>89.6</v>
      </c>
      <c r="I29" s="30">
        <v>682208.01</v>
      </c>
      <c r="J29" s="31">
        <f>167465.0014 -(64890.80823*C29)-(88660.97356*D29)-(93638.37558*E29)+(1.166639942*F29)+(33.97310595*G29)+(2561.266053*H29)</f>
        <v>618900.22405900387</v>
      </c>
      <c r="K29" s="32">
        <f>I29-J29</f>
        <v>63307.785940996138</v>
      </c>
    </row>
    <row r="30" spans="1:17">
      <c r="A30" s="36" t="s">
        <v>61</v>
      </c>
      <c r="C30" s="8">
        <f>IF(B30="North",1,0)</f>
        <v>0</v>
      </c>
      <c r="D30" s="8">
        <f>IF(B30="South",1,0)</f>
        <v>0</v>
      </c>
      <c r="E30" s="8">
        <f>IF(B30="East",1,0)</f>
        <v>0</v>
      </c>
      <c r="F30" s="30">
        <v>56918.16</v>
      </c>
      <c r="G30" s="30">
        <v>7015</v>
      </c>
      <c r="H30" s="30">
        <v>74.2</v>
      </c>
      <c r="I30" s="30">
        <v>724216.07</v>
      </c>
      <c r="J30" s="31">
        <f>167465.0014 -(64890.80823*C30)-(88660.97356*D30)-(93638.37558*E30)+(1.166639942*F30)+(33.97310595*G30)+(2561.266053*H30)</f>
        <v>662235.27965299669</v>
      </c>
      <c r="K30" s="32">
        <f>I30-J30</f>
        <v>61980.790347003262</v>
      </c>
    </row>
    <row r="31" spans="1:17">
      <c r="A31" s="36" t="s">
        <v>39</v>
      </c>
      <c r="C31" s="8">
        <f>IF(B31="North",1,0)</f>
        <v>0</v>
      </c>
      <c r="D31" s="8">
        <f>IF(B31="South",1,0)</f>
        <v>0</v>
      </c>
      <c r="E31" s="8">
        <f>IF(B31="East",1,0)</f>
        <v>0</v>
      </c>
      <c r="F31" s="30">
        <v>70937.240000000005</v>
      </c>
      <c r="G31" s="30">
        <v>3595</v>
      </c>
      <c r="H31" s="30">
        <v>88.9</v>
      </c>
      <c r="I31" s="30">
        <v>661927.14</v>
      </c>
      <c r="J31" s="31">
        <f>167465.0014 -(64890.80823*C31)-(88660.97356*D31)-(93638.37558*E31)+(1.166639942*F31)+(33.97310595*G31)+(2561.266053*H31)</f>
        <v>600053.0869611901</v>
      </c>
      <c r="K31" s="32">
        <f>I31-J31</f>
        <v>61874.053038809914</v>
      </c>
    </row>
    <row r="32" spans="1:17">
      <c r="A32" s="36" t="s">
        <v>86</v>
      </c>
      <c r="C32" s="8">
        <f>IF(B32="North",1,0)</f>
        <v>0</v>
      </c>
      <c r="D32" s="8">
        <f>IF(B32="South",1,0)</f>
        <v>0</v>
      </c>
      <c r="E32" s="8">
        <f>IF(B32="East",1,0)</f>
        <v>0</v>
      </c>
      <c r="F32" s="30">
        <v>38397.82</v>
      </c>
      <c r="G32" s="30">
        <v>7836</v>
      </c>
      <c r="H32" s="30">
        <v>92.2</v>
      </c>
      <c r="I32" s="30">
        <v>776110.32</v>
      </c>
      <c r="J32" s="31">
        <f>167465.0014 -(64890.80823*C32)-(88660.97356*D32)-(93638.37558*E32)+(1.166639942*F32)+(33.97310595*G32)+(2561.266053*H32)</f>
        <v>714623.42020852643</v>
      </c>
      <c r="K32" s="32">
        <f>I32-J32</f>
        <v>61486.899791473523</v>
      </c>
    </row>
    <row r="33" spans="1:11">
      <c r="A33" s="36" t="s">
        <v>97</v>
      </c>
      <c r="C33" s="8">
        <f>IF(B33="North",1,0)</f>
        <v>0</v>
      </c>
      <c r="D33" s="8">
        <f>IF(B33="South",1,0)</f>
        <v>0</v>
      </c>
      <c r="E33" s="8">
        <f>IF(B33="East",1,0)</f>
        <v>0</v>
      </c>
      <c r="F33" s="30">
        <v>31997.25</v>
      </c>
      <c r="G33" s="30">
        <v>8183</v>
      </c>
      <c r="H33" s="30">
        <v>93</v>
      </c>
      <c r="I33" s="30">
        <v>780580.95</v>
      </c>
      <c r="J33" s="31">
        <f>167465.0014 -(64890.80823*C33)-(88660.97356*D33)-(93638.37558*E33)+(1.166639942*F33)+(33.97310595*G33)+(2561.266053*H33)</f>
        <v>720993.9402020094</v>
      </c>
      <c r="K33" s="32">
        <f>I33-J33</f>
        <v>59587.009797990555</v>
      </c>
    </row>
    <row r="34" spans="1:11">
      <c r="A34" s="36" t="s">
        <v>53</v>
      </c>
      <c r="C34" s="8">
        <f>IF(B34="North",1,0)</f>
        <v>0</v>
      </c>
      <c r="D34" s="8">
        <f>IF(B34="South",1,0)</f>
        <v>0</v>
      </c>
      <c r="E34" s="8">
        <f>IF(B34="East",1,0)</f>
        <v>0</v>
      </c>
      <c r="F34" s="30">
        <v>56517.9</v>
      </c>
      <c r="G34" s="30">
        <v>9574</v>
      </c>
      <c r="H34" s="30">
        <v>88.2</v>
      </c>
      <c r="I34" s="30">
        <v>842157.92</v>
      </c>
      <c r="J34" s="31">
        <f>167465.0014 -(64890.80823*C34)-(88660.97356*D34)-(93638.37558*E34)+(1.166639942*F34)+(33.97310595*G34)+(2561.266053*H34)</f>
        <v>784563.22321786173</v>
      </c>
      <c r="K34" s="32">
        <f>I34-J34</f>
        <v>57594.696782138315</v>
      </c>
    </row>
    <row r="35" spans="1:11">
      <c r="A35" s="36" t="s">
        <v>61</v>
      </c>
      <c r="C35" s="8">
        <f>IF(B35="North",1,0)</f>
        <v>0</v>
      </c>
      <c r="D35" s="8">
        <f>IF(B35="South",1,0)</f>
        <v>0</v>
      </c>
      <c r="E35" s="8">
        <f>IF(B35="East",1,0)</f>
        <v>0</v>
      </c>
      <c r="F35" s="30">
        <v>23254.57</v>
      </c>
      <c r="G35" s="30">
        <v>3847</v>
      </c>
      <c r="H35" s="30">
        <v>93</v>
      </c>
      <c r="I35" s="30">
        <v>620973.03</v>
      </c>
      <c r="J35" s="31">
        <f>167465.0014 -(64890.80823*C35)-(88660.97356*D35)-(93638.37558*E35)+(1.166639942*F35)+(33.97310595*G35)+(2561.266053*H35)</f>
        <v>563486.99311468494</v>
      </c>
      <c r="K35" s="32">
        <f>I35-J35</f>
        <v>57486.036885315087</v>
      </c>
    </row>
    <row r="36" spans="1:11">
      <c r="A36" s="36" t="s">
        <v>56</v>
      </c>
      <c r="C36" s="8">
        <f>IF(B36="North",1,0)</f>
        <v>0</v>
      </c>
      <c r="D36" s="8">
        <f>IF(B36="South",1,0)</f>
        <v>0</v>
      </c>
      <c r="E36" s="8">
        <f>IF(B36="East",1,0)</f>
        <v>0</v>
      </c>
      <c r="F36" s="30">
        <v>69779</v>
      </c>
      <c r="G36" s="30">
        <v>6544</v>
      </c>
      <c r="H36" s="30">
        <v>90.2</v>
      </c>
      <c r="I36" s="30">
        <v>758827.64</v>
      </c>
      <c r="J36" s="31">
        <f>167465.0014 -(64890.80823*C36)-(88660.97356*D36)-(93638.37558*E36)+(1.166639942*F36)+(33.97310595*G36)+(2561.266053*H36)</f>
        <v>702218.173230218</v>
      </c>
      <c r="K36" s="32">
        <f>I36-J36</f>
        <v>56609.466769782011</v>
      </c>
    </row>
    <row r="37" spans="1:11">
      <c r="A37" s="36" t="s">
        <v>73</v>
      </c>
      <c r="C37" s="8">
        <f>IF(B37="North",1,0)</f>
        <v>0</v>
      </c>
      <c r="D37" s="8">
        <f>IF(B37="South",1,0)</f>
        <v>0</v>
      </c>
      <c r="E37" s="8">
        <f>IF(B37="East",1,0)</f>
        <v>0</v>
      </c>
      <c r="F37" s="30">
        <v>54300.87</v>
      </c>
      <c r="G37" s="30">
        <v>7875</v>
      </c>
      <c r="H37" s="30">
        <v>94.1</v>
      </c>
      <c r="I37" s="30">
        <v>795464.47</v>
      </c>
      <c r="J37" s="31">
        <f>167465.0014 -(64890.80823*C37)-(88660.97356*D37)-(93638.37558*E37)+(1.166639942*F37)+(33.97310595*G37)+(2561.266053*H37)</f>
        <v>739367.91017089947</v>
      </c>
      <c r="K37" s="32">
        <f>I37-J37</f>
        <v>56096.559829100501</v>
      </c>
    </row>
    <row r="38" spans="1:11">
      <c r="A38" s="36" t="s">
        <v>45</v>
      </c>
      <c r="C38" s="8">
        <f>IF(B38="North",1,0)</f>
        <v>0</v>
      </c>
      <c r="D38" s="8">
        <f>IF(B38="South",1,0)</f>
        <v>0</v>
      </c>
      <c r="E38" s="8">
        <f>IF(B38="East",1,0)</f>
        <v>0</v>
      </c>
      <c r="F38" s="30">
        <v>67439.3</v>
      </c>
      <c r="G38" s="30">
        <v>6477</v>
      </c>
      <c r="H38" s="30">
        <v>90.9</v>
      </c>
      <c r="I38" s="30">
        <v>753473.55</v>
      </c>
      <c r="J38" s="31">
        <f>167465.0014 -(64890.80823*C38)-(88660.97356*D38)-(93638.37558*E38)+(1.166639942*F38)+(33.97310595*G38)+(2561.266053*H38)</f>
        <v>699005.27389637055</v>
      </c>
      <c r="K38" s="32">
        <f>I38-J38</f>
        <v>54468.276103629498</v>
      </c>
    </row>
    <row r="39" spans="1:11">
      <c r="A39" s="36" t="s">
        <v>76</v>
      </c>
      <c r="C39" s="8">
        <f>IF(B39="North",1,0)</f>
        <v>0</v>
      </c>
      <c r="D39" s="8">
        <f>IF(B39="South",1,0)</f>
        <v>0</v>
      </c>
      <c r="E39" s="8">
        <f>IF(B39="East",1,0)</f>
        <v>0</v>
      </c>
      <c r="F39" s="30">
        <v>58785.33</v>
      </c>
      <c r="G39" s="30">
        <v>4467</v>
      </c>
      <c r="H39" s="30">
        <v>90.7</v>
      </c>
      <c r="I39" s="30">
        <v>673348.56</v>
      </c>
      <c r="J39" s="31">
        <f>167465.0014 -(64890.80823*C39)-(88660.97356*D39)-(93638.37558*E39)+(1.166639942*F39)+(33.97310595*G39)+(2561.266053*H39)</f>
        <v>620111.0106674009</v>
      </c>
      <c r="K39" s="32">
        <f>I39-J39</f>
        <v>53237.549332599156</v>
      </c>
    </row>
    <row r="40" spans="1:11">
      <c r="A40" s="36" t="s">
        <v>31</v>
      </c>
      <c r="C40" s="8">
        <f>IF(B40="North",1,0)</f>
        <v>0</v>
      </c>
      <c r="D40" s="8">
        <f>IF(B40="South",1,0)</f>
        <v>0</v>
      </c>
      <c r="E40" s="8">
        <f>IF(B40="East",1,0)</f>
        <v>0</v>
      </c>
      <c r="F40" s="30">
        <v>75269.87</v>
      </c>
      <c r="G40" s="30">
        <v>8838</v>
      </c>
      <c r="H40" s="30">
        <v>83.1</v>
      </c>
      <c r="I40" s="30">
        <v>820593.93</v>
      </c>
      <c r="J40" s="31">
        <f>167465.0014 -(64890.80823*C40)-(88660.97356*D40)-(93638.37558*E40)+(1.166639942*F40)+(33.97310595*G40)+(2561.266053*H40)</f>
        <v>768373.35756154743</v>
      </c>
      <c r="K40" s="32">
        <f>I40-J40</f>
        <v>52220.572438452626</v>
      </c>
    </row>
    <row r="41" spans="1:11">
      <c r="A41" s="36" t="s">
        <v>37</v>
      </c>
      <c r="C41" s="8">
        <f>IF(B41="North",1,0)</f>
        <v>0</v>
      </c>
      <c r="D41" s="8">
        <f>IF(B41="South",1,0)</f>
        <v>0</v>
      </c>
      <c r="E41" s="8">
        <f>IF(B41="East",1,0)</f>
        <v>0</v>
      </c>
      <c r="F41" s="30">
        <v>37284.660000000003</v>
      </c>
      <c r="G41" s="30">
        <v>3928</v>
      </c>
      <c r="H41" s="30">
        <v>86.5</v>
      </c>
      <c r="I41" s="30">
        <v>615966.48</v>
      </c>
      <c r="J41" s="31">
        <f>167465.0014 -(64890.80823*C41)-(88660.97356*D41)-(93638.37558*E41)+(1.166639942*F41)+(33.97310595*G41)+(2561.266053*H41)</f>
        <v>565958.6487359897</v>
      </c>
      <c r="K41" s="32">
        <f>I41-J41</f>
        <v>50007.831264010281</v>
      </c>
    </row>
    <row r="42" spans="1:11">
      <c r="A42" s="36" t="s">
        <v>37</v>
      </c>
      <c r="C42" s="8">
        <f>IF(B42="North",1,0)</f>
        <v>0</v>
      </c>
      <c r="D42" s="8">
        <f>IF(B42="South",1,0)</f>
        <v>0</v>
      </c>
      <c r="E42" s="8">
        <f>IF(B42="East",1,0)</f>
        <v>0</v>
      </c>
      <c r="F42" s="30">
        <v>74954.47</v>
      </c>
      <c r="G42" s="30">
        <v>6620</v>
      </c>
      <c r="H42" s="30">
        <v>91.1</v>
      </c>
      <c r="I42" s="30">
        <v>761860.19</v>
      </c>
      <c r="J42" s="31">
        <f>167465.0014 -(64890.80823*C42)-(88660.97356*D42)-(93638.37558*E42)+(1.166639942*F42)+(33.97310595*G42)+(2561.266053*H42)</f>
        <v>713143.17875074071</v>
      </c>
      <c r="K42" s="32">
        <f>I42-J42</f>
        <v>48717.011249259231</v>
      </c>
    </row>
    <row r="43" spans="1:11">
      <c r="A43" s="36" t="s">
        <v>50</v>
      </c>
      <c r="C43" s="8">
        <f>IF(B43="North",1,0)</f>
        <v>0</v>
      </c>
      <c r="D43" s="8">
        <f>IF(B43="South",1,0)</f>
        <v>0</v>
      </c>
      <c r="E43" s="8">
        <f>IF(B43="East",1,0)</f>
        <v>0</v>
      </c>
      <c r="F43" s="30">
        <v>80176.34</v>
      </c>
      <c r="G43" s="30">
        <v>9489</v>
      </c>
      <c r="H43" s="30">
        <v>94.3</v>
      </c>
      <c r="I43" s="30">
        <v>873380.02</v>
      </c>
      <c r="J43" s="31">
        <f>167465.0014 -(64890.80823*C43)-(88660.97356*D43)-(93638.37558*E43)+(1.166639942*F43)+(33.97310595*G43)+(2561.266053*H43)</f>
        <v>824900.11320482218</v>
      </c>
      <c r="K43" s="32">
        <f>I43-J43</f>
        <v>48479.906795177842</v>
      </c>
    </row>
    <row r="44" spans="1:11">
      <c r="A44" s="36" t="s">
        <v>47</v>
      </c>
      <c r="C44" s="8">
        <f>IF(B44="North",1,0)</f>
        <v>0</v>
      </c>
      <c r="D44" s="8">
        <f>IF(B44="South",1,0)</f>
        <v>0</v>
      </c>
      <c r="E44" s="8">
        <f>IF(B44="East",1,0)</f>
        <v>0</v>
      </c>
      <c r="F44" s="30">
        <v>53084.76</v>
      </c>
      <c r="G44" s="30">
        <v>3642</v>
      </c>
      <c r="H44" s="30">
        <v>91.4</v>
      </c>
      <c r="I44" s="30">
        <v>635181.35</v>
      </c>
      <c r="J44" s="31">
        <f>167465.0014 -(64890.80823*C44)-(88660.97356*D44)-(93638.37558*E44)+(1.166639942*F44)+(33.97310595*G44)+(2561.266053*H44)</f>
        <v>587225.57184158394</v>
      </c>
      <c r="K44" s="32">
        <f>I44-J44</f>
        <v>47955.77815841604</v>
      </c>
    </row>
    <row r="45" spans="1:11">
      <c r="A45" s="36" t="s">
        <v>85</v>
      </c>
      <c r="C45" s="8">
        <f>IF(B45="North",1,0)</f>
        <v>0</v>
      </c>
      <c r="D45" s="8">
        <f>IF(B45="South",1,0)</f>
        <v>0</v>
      </c>
      <c r="E45" s="8">
        <f>IF(B45="East",1,0)</f>
        <v>0</v>
      </c>
      <c r="F45" s="30">
        <v>75412.740000000005</v>
      </c>
      <c r="G45" s="30">
        <v>5641</v>
      </c>
      <c r="H45" s="30">
        <v>87.9</v>
      </c>
      <c r="I45" s="30">
        <v>720079.54</v>
      </c>
      <c r="J45" s="31">
        <f>167465.0014 -(64890.80823*C45)-(88660.97356*D45)-(93638.37558*E45)+(1.166639942*F45)+(33.97310595*G45)+(2561.266053*H45)</f>
        <v>672222.09274231107</v>
      </c>
      <c r="K45" s="32">
        <f>I45-J45</f>
        <v>47857.447257688968</v>
      </c>
    </row>
    <row r="46" spans="1:11">
      <c r="A46" s="36" t="s">
        <v>41</v>
      </c>
      <c r="C46" s="8">
        <f>IF(B46="North",1,0)</f>
        <v>0</v>
      </c>
      <c r="D46" s="8">
        <f>IF(B46="South",1,0)</f>
        <v>0</v>
      </c>
      <c r="E46" s="8">
        <f>IF(B46="East",1,0)</f>
        <v>0</v>
      </c>
      <c r="F46" s="30">
        <v>80562.81</v>
      </c>
      <c r="G46" s="30">
        <v>7470</v>
      </c>
      <c r="H46" s="30">
        <v>83.5</v>
      </c>
      <c r="I46" s="30">
        <v>776922.17</v>
      </c>
      <c r="J46" s="31">
        <f>167465.0014 -(64890.80823*C46)-(88660.97356*D46)-(93638.37558*E46)+(1.166639942*F46)+(33.97310595*G46)+(2561.266053*H46)</f>
        <v>729097.61025775701</v>
      </c>
      <c r="K46" s="32">
        <f>I46-J46</f>
        <v>47824.559742243029</v>
      </c>
    </row>
    <row r="47" spans="1:11">
      <c r="A47" s="36" t="s">
        <v>80</v>
      </c>
      <c r="C47" s="8">
        <f>IF(B47="North",1,0)</f>
        <v>0</v>
      </c>
      <c r="D47" s="8">
        <f>IF(B47="South",1,0)</f>
        <v>0</v>
      </c>
      <c r="E47" s="8">
        <f>IF(B47="East",1,0)</f>
        <v>0</v>
      </c>
      <c r="F47" s="30">
        <v>47241.919999999998</v>
      </c>
      <c r="G47" s="30">
        <v>4264</v>
      </c>
      <c r="H47" s="30">
        <v>95.3</v>
      </c>
      <c r="I47" s="30">
        <v>658072.14</v>
      </c>
      <c r="J47" s="31">
        <f>167465.0014 -(64890.80823*C47)-(88660.97356*D47)-(93638.37558*E47)+(1.166639942*F47)+(33.97310595*G47)+(2561.266053*H47)</f>
        <v>611529.29083046864</v>
      </c>
      <c r="K47" s="32">
        <f>I47-J47</f>
        <v>46542.849169531371</v>
      </c>
    </row>
    <row r="48" spans="1:11">
      <c r="A48" s="36" t="s">
        <v>34</v>
      </c>
      <c r="C48" s="8">
        <f>IF(B48="North",1,0)</f>
        <v>0</v>
      </c>
      <c r="D48" s="8">
        <f>IF(B48="South",1,0)</f>
        <v>0</v>
      </c>
      <c r="E48" s="8">
        <f>IF(B48="East",1,0)</f>
        <v>0</v>
      </c>
      <c r="F48" s="30">
        <v>65312.49</v>
      </c>
      <c r="G48" s="30">
        <v>7189</v>
      </c>
      <c r="H48" s="30">
        <v>93.7</v>
      </c>
      <c r="I48" s="30">
        <v>773815.14</v>
      </c>
      <c r="J48" s="31">
        <f>167465.0014 -(64890.80823*C48)-(88660.97356*D48)-(93638.37558*E48)+(1.166639942*F48)+(33.97310595*G48)+(2561.266053*H48)</f>
        <v>727884.44878612552</v>
      </c>
      <c r="K48" s="32">
        <f>I48-J48</f>
        <v>45930.691213874496</v>
      </c>
    </row>
    <row r="49" spans="1:11">
      <c r="A49" s="36" t="s">
        <v>35</v>
      </c>
      <c r="C49" s="8">
        <f>IF(B49="North",1,0)</f>
        <v>0</v>
      </c>
      <c r="D49" s="8">
        <f>IF(B49="South",1,0)</f>
        <v>0</v>
      </c>
      <c r="E49" s="8">
        <f>IF(B49="East",1,0)</f>
        <v>0</v>
      </c>
      <c r="F49" s="30">
        <v>81195.5</v>
      </c>
      <c r="G49" s="30">
        <v>5516</v>
      </c>
      <c r="H49" s="30">
        <v>88</v>
      </c>
      <c r="I49" s="30">
        <v>720852.5</v>
      </c>
      <c r="J49" s="31">
        <f>167465.0014 -(64890.80823*C49)-(88660.97356*D49)-(93638.37558*E49)+(1.166639942*F49)+(33.97310595*G49)+(2561.266053*H49)</f>
        <v>674977.97989486088</v>
      </c>
      <c r="K49" s="32">
        <f>I49-J49</f>
        <v>45874.52010513912</v>
      </c>
    </row>
    <row r="50" spans="1:11">
      <c r="A50" s="36" t="s">
        <v>79</v>
      </c>
      <c r="C50" s="8">
        <f>IF(B50="North",1,0)</f>
        <v>0</v>
      </c>
      <c r="D50" s="8">
        <f>IF(B50="South",1,0)</f>
        <v>0</v>
      </c>
      <c r="E50" s="8">
        <f>IF(B50="East",1,0)</f>
        <v>0</v>
      </c>
      <c r="F50" s="30">
        <v>113736</v>
      </c>
      <c r="G50" s="30">
        <v>8961</v>
      </c>
      <c r="H50" s="30">
        <v>86.2</v>
      </c>
      <c r="I50" s="30">
        <v>870937.4</v>
      </c>
      <c r="J50" s="31">
        <f>167465.0014 -(64890.80823*C50)-(88660.97356*D50)-(93638.37558*E50)+(1.166639942*F50)+(33.97310595*G50)+(2561.266053*H50)</f>
        <v>825368.09802986193</v>
      </c>
      <c r="K50" s="32">
        <f>I50-J50</f>
        <v>45569.301970138098</v>
      </c>
    </row>
    <row r="51" spans="1:11">
      <c r="A51" s="36" t="s">
        <v>57</v>
      </c>
      <c r="C51" s="8">
        <f>IF(B51="North",1,0)</f>
        <v>0</v>
      </c>
      <c r="D51" s="8">
        <f>IF(B51="South",1,0)</f>
        <v>0</v>
      </c>
      <c r="E51" s="8">
        <f>IF(B51="East",1,0)</f>
        <v>0</v>
      </c>
      <c r="F51" s="30">
        <v>44034.6</v>
      </c>
      <c r="G51" s="30">
        <v>5645</v>
      </c>
      <c r="H51" s="30">
        <v>88.5</v>
      </c>
      <c r="I51" s="30">
        <v>682639.28</v>
      </c>
      <c r="J51" s="31">
        <f>167465.0014 -(64890.80823*C51)-(88660.97356*D51)-(93638.37558*E51)+(1.166639942*F51)+(33.97310595*G51)+(2561.266053*H51)</f>
        <v>637287.75336824311</v>
      </c>
      <c r="K51" s="32">
        <f>I51-J51</f>
        <v>45351.526631756919</v>
      </c>
    </row>
    <row r="52" spans="1:11">
      <c r="A52" s="36" t="s">
        <v>63</v>
      </c>
      <c r="C52" s="8">
        <f>IF(B52="North",1,0)</f>
        <v>0</v>
      </c>
      <c r="D52" s="8">
        <f>IF(B52="South",1,0)</f>
        <v>0</v>
      </c>
      <c r="E52" s="8">
        <f>IF(B52="East",1,0)</f>
        <v>0</v>
      </c>
      <c r="F52" s="30">
        <v>72150.53</v>
      </c>
      <c r="G52" s="30">
        <v>9323</v>
      </c>
      <c r="H52" s="30">
        <v>82.9</v>
      </c>
      <c r="I52" s="30">
        <v>825797.91</v>
      </c>
      <c r="J52" s="31">
        <f>167465.0014 -(64890.80823*C52)-(88660.97356*D52)-(93638.37558*E52)+(1.166639942*F52)+(33.97310595*G52)+(2561.266053*H52)</f>
        <v>780698.91410001926</v>
      </c>
      <c r="K52" s="32">
        <f>I52-J52</f>
        <v>45098.995899980771</v>
      </c>
    </row>
    <row r="53" spans="1:11">
      <c r="A53" s="36" t="s">
        <v>66</v>
      </c>
      <c r="C53" s="8">
        <f>IF(B53="North",1,0)</f>
        <v>0</v>
      </c>
      <c r="D53" s="8">
        <f>IF(B53="South",1,0)</f>
        <v>0</v>
      </c>
      <c r="E53" s="8">
        <f>IF(B53="East",1,0)</f>
        <v>0</v>
      </c>
      <c r="F53" s="30">
        <v>40535.089999999997</v>
      </c>
      <c r="G53" s="30">
        <v>8870</v>
      </c>
      <c r="H53" s="30">
        <v>86.6</v>
      </c>
      <c r="I53" s="30">
        <v>781955.52</v>
      </c>
      <c r="J53" s="31">
        <f>167465.0014 -(64890.80823*C53)-(88660.97356*D53)-(93638.37558*E53)+(1.166639942*F53)+(33.97310595*G53)+(2561.266053*H53)</f>
        <v>737901.94641286472</v>
      </c>
      <c r="K53" s="32">
        <f>I53-J53</f>
        <v>44053.573587135295</v>
      </c>
    </row>
    <row r="54" spans="1:11">
      <c r="A54" s="36" t="s">
        <v>89</v>
      </c>
      <c r="C54" s="8">
        <f>IF(B54="North",1,0)</f>
        <v>0</v>
      </c>
      <c r="D54" s="8">
        <f>IF(B54="South",1,0)</f>
        <v>0</v>
      </c>
      <c r="E54" s="8">
        <f>IF(B54="East",1,0)</f>
        <v>0</v>
      </c>
      <c r="F54" s="30">
        <v>23914.97</v>
      </c>
      <c r="G54" s="30">
        <v>8018</v>
      </c>
      <c r="H54" s="30">
        <v>89</v>
      </c>
      <c r="I54" s="30">
        <v>739374.56</v>
      </c>
      <c r="J54" s="31">
        <f>167465.0014 -(64890.80823*C54)-(88660.97356*D54)-(93638.37558*E54)+(1.166639942*F54)+(33.97310595*G54)+(2561.266053*H54)</f>
        <v>695714.20283783169</v>
      </c>
      <c r="K54" s="32">
        <f>I54-J54</f>
        <v>43660.357162168366</v>
      </c>
    </row>
    <row r="55" spans="1:11">
      <c r="A55" s="36" t="s">
        <v>44</v>
      </c>
      <c r="C55" s="8">
        <f>IF(B55="North",1,0)</f>
        <v>0</v>
      </c>
      <c r="D55" s="8">
        <f>IF(B55="South",1,0)</f>
        <v>0</v>
      </c>
      <c r="E55" s="8">
        <f>IF(B55="East",1,0)</f>
        <v>0</v>
      </c>
      <c r="F55" s="30">
        <v>50517.94</v>
      </c>
      <c r="G55" s="30">
        <v>7024</v>
      </c>
      <c r="H55" s="30">
        <v>79.2</v>
      </c>
      <c r="I55" s="30">
        <v>711213.46</v>
      </c>
      <c r="J55" s="31">
        <f>167465.0014 -(64890.80823*C55)-(88660.97356*D55)-(93638.37558*E55)+(1.166639942*F55)+(33.97310595*G55)+(2561.266053*H55)</f>
        <v>667880.61558195949</v>
      </c>
      <c r="K55" s="32">
        <f>I55-J55</f>
        <v>43332.844418040477</v>
      </c>
    </row>
    <row r="56" spans="1:11">
      <c r="A56" s="36" t="s">
        <v>57</v>
      </c>
      <c r="C56" s="8">
        <f>IF(B56="North",1,0)</f>
        <v>0</v>
      </c>
      <c r="D56" s="8">
        <f>IF(B56="South",1,0)</f>
        <v>0</v>
      </c>
      <c r="E56" s="8">
        <f>IF(B56="East",1,0)</f>
        <v>0</v>
      </c>
      <c r="F56" s="30">
        <v>51430.31</v>
      </c>
      <c r="G56" s="30">
        <v>6427</v>
      </c>
      <c r="H56" s="30">
        <v>88.8</v>
      </c>
      <c r="I56" s="30">
        <v>715890.53</v>
      </c>
      <c r="J56" s="31">
        <f>167465.0014 -(64890.80823*C56)-(88660.97356*D56)-(93638.37558*E56)+(1.166639942*F56)+(33.97310595*G56)+(2561.266053*H56)</f>
        <v>673251.23272249196</v>
      </c>
      <c r="K56" s="32">
        <f>I56-J56</f>
        <v>42639.297277508071</v>
      </c>
    </row>
    <row r="57" spans="1:11">
      <c r="A57" s="36" t="s">
        <v>59</v>
      </c>
      <c r="C57" s="8">
        <f>IF(B57="North",1,0)</f>
        <v>0</v>
      </c>
      <c r="D57" s="8">
        <f>IF(B57="South",1,0)</f>
        <v>0</v>
      </c>
      <c r="E57" s="8">
        <f>IF(B57="East",1,0)</f>
        <v>0</v>
      </c>
      <c r="F57" s="30">
        <v>47093.55</v>
      </c>
      <c r="G57" s="30">
        <v>5550</v>
      </c>
      <c r="H57" s="30">
        <v>95</v>
      </c>
      <c r="I57" s="30">
        <v>696744.15</v>
      </c>
      <c r="J57" s="31">
        <f>167465.0014 -(64890.80823*C57)-(88660.97356*D57)-(93638.37558*E57)+(1.166639942*F57)+(33.97310595*G57)+(2561.266053*H57)</f>
        <v>654277.23089807399</v>
      </c>
      <c r="K57" s="32">
        <f>I57-J57</f>
        <v>42466.919101926032</v>
      </c>
    </row>
    <row r="58" spans="1:11">
      <c r="A58" s="36" t="s">
        <v>71</v>
      </c>
      <c r="C58" s="8">
        <f>IF(B58="North",1,0)</f>
        <v>0</v>
      </c>
      <c r="D58" s="8">
        <f>IF(B58="South",1,0)</f>
        <v>0</v>
      </c>
      <c r="E58" s="8">
        <f>IF(B58="East",1,0)</f>
        <v>0</v>
      </c>
      <c r="F58" s="30">
        <v>71851.45</v>
      </c>
      <c r="G58" s="30">
        <v>4970</v>
      </c>
      <c r="H58" s="30">
        <v>89.6</v>
      </c>
      <c r="I58" s="30">
        <v>691447.43</v>
      </c>
      <c r="J58" s="31">
        <f>167465.0014 -(64890.80823*C58)-(88660.97356*D58)-(93638.37558*E58)+(1.166639942*F58)+(33.97310595*G58)+(2561.266053*H58)</f>
        <v>649625.54778091586</v>
      </c>
      <c r="K58" s="32">
        <f>I58-J58</f>
        <v>41821.882219084189</v>
      </c>
    </row>
    <row r="59" spans="1:11">
      <c r="A59" s="36" t="s">
        <v>44</v>
      </c>
      <c r="C59" s="8">
        <f>IF(B59="North",1,0)</f>
        <v>0</v>
      </c>
      <c r="D59" s="8">
        <f>IF(B59="South",1,0)</f>
        <v>0</v>
      </c>
      <c r="E59" s="8">
        <f>IF(B59="East",1,0)</f>
        <v>0</v>
      </c>
      <c r="F59" s="30">
        <v>31207.51</v>
      </c>
      <c r="G59" s="30">
        <v>3701</v>
      </c>
      <c r="H59" s="30">
        <v>84.7</v>
      </c>
      <c r="I59" s="30">
        <v>586307.22</v>
      </c>
      <c r="J59" s="31">
        <f>167465.0014 -(64890.80823*C59)-(88660.97356*D59)-(93638.37558*E59)+(1.166639942*F59)+(33.97310595*G59)+(2561.266053*H59)</f>
        <v>546546.62886641442</v>
      </c>
      <c r="K59" s="32">
        <f>I59-J59</f>
        <v>39760.591133585549</v>
      </c>
    </row>
    <row r="60" spans="1:11">
      <c r="A60" s="36" t="s">
        <v>50</v>
      </c>
      <c r="C60" s="8">
        <f>IF(B60="North",1,0)</f>
        <v>0</v>
      </c>
      <c r="D60" s="8">
        <f>IF(B60="South",1,0)</f>
        <v>0</v>
      </c>
      <c r="E60" s="8">
        <f>IF(B60="East",1,0)</f>
        <v>0</v>
      </c>
      <c r="F60" s="30">
        <v>61426.04</v>
      </c>
      <c r="G60" s="30">
        <v>8966</v>
      </c>
      <c r="H60" s="30">
        <v>76.400000000000006</v>
      </c>
      <c r="I60" s="30">
        <v>778397.97</v>
      </c>
      <c r="J60" s="31">
        <f>167465.0014 -(64890.80823*C60)-(88660.97356*D60)-(93638.37558*E60)+(1.166639942*F60)+(33.97310595*G60)+(2561.266053*H60)</f>
        <v>739410.66753978957</v>
      </c>
      <c r="K60" s="32">
        <f>I60-J60</f>
        <v>38987.302460210398</v>
      </c>
    </row>
    <row r="61" spans="1:11">
      <c r="A61" s="36" t="s">
        <v>41</v>
      </c>
      <c r="C61" s="8">
        <f>IF(B61="North",1,0)</f>
        <v>0</v>
      </c>
      <c r="D61" s="8">
        <f>IF(B61="South",1,0)</f>
        <v>0</v>
      </c>
      <c r="E61" s="8">
        <f>IF(B61="East",1,0)</f>
        <v>0</v>
      </c>
      <c r="F61" s="30">
        <v>54872.82</v>
      </c>
      <c r="G61" s="30">
        <v>5962</v>
      </c>
      <c r="H61" s="30">
        <v>85.4</v>
      </c>
      <c r="I61" s="30">
        <v>691112.6</v>
      </c>
      <c r="J61" s="31">
        <f>167465.0014 -(64890.80823*C61)-(88660.97356*D61)-(93638.37558*E61)+(1.166639942*F61)+(33.97310595*G61)+(2561.266053*H61)</f>
        <v>652761.60354227643</v>
      </c>
      <c r="K61" s="32">
        <f>I61-J61</f>
        <v>38350.996457723551</v>
      </c>
    </row>
    <row r="62" spans="1:11">
      <c r="A62" s="36" t="s">
        <v>44</v>
      </c>
      <c r="C62" s="8">
        <f>IF(B62="North",1,0)</f>
        <v>0</v>
      </c>
      <c r="D62" s="8">
        <f>IF(B62="South",1,0)</f>
        <v>0</v>
      </c>
      <c r="E62" s="8">
        <f>IF(B62="East",1,0)</f>
        <v>0</v>
      </c>
      <c r="F62" s="30">
        <v>82116.19</v>
      </c>
      <c r="G62" s="30">
        <v>5988</v>
      </c>
      <c r="H62" s="30">
        <v>91.8</v>
      </c>
      <c r="I62" s="30">
        <v>739852.58</v>
      </c>
      <c r="J62" s="31">
        <f>167465.0014 -(64890.80823*C62)-(88660.97356*D62)-(93638.37558*E62)+(1.166639942*F62)+(33.97310595*G62)+(2561.266053*H62)</f>
        <v>701820.21063286089</v>
      </c>
      <c r="K62" s="32">
        <f>I62-J62</f>
        <v>38032.369367139065</v>
      </c>
    </row>
    <row r="63" spans="1:11">
      <c r="A63" s="36" t="s">
        <v>98</v>
      </c>
      <c r="C63" s="8">
        <f>IF(B63="North",1,0)</f>
        <v>0</v>
      </c>
      <c r="D63" s="8">
        <f>IF(B63="South",1,0)</f>
        <v>0</v>
      </c>
      <c r="E63" s="8">
        <f>IF(B63="East",1,0)</f>
        <v>0</v>
      </c>
      <c r="F63" s="30">
        <v>22387.26</v>
      </c>
      <c r="G63" s="30">
        <v>6301</v>
      </c>
      <c r="H63" s="30">
        <v>85.9</v>
      </c>
      <c r="I63" s="30">
        <v>665342.49</v>
      </c>
      <c r="J63" s="31">
        <f>167465.0014 -(64890.80823*C63)-(88660.97356*D63)-(93638.37558*E63)+(1.166639942*F63)+(33.97310595*G63)+(2561.266053*H63)</f>
        <v>627660.16765158891</v>
      </c>
      <c r="K63" s="32">
        <f>I63-J63</f>
        <v>37682.322348411079</v>
      </c>
    </row>
    <row r="64" spans="1:11">
      <c r="A64" s="36" t="s">
        <v>82</v>
      </c>
      <c r="C64" s="8">
        <f>IF(B64="North",1,0)</f>
        <v>0</v>
      </c>
      <c r="D64" s="8">
        <f>IF(B64="South",1,0)</f>
        <v>0</v>
      </c>
      <c r="E64" s="8">
        <f>IF(B64="East",1,0)</f>
        <v>0</v>
      </c>
      <c r="F64" s="30">
        <v>51781.599999999999</v>
      </c>
      <c r="G64" s="30">
        <v>5648</v>
      </c>
      <c r="H64" s="30">
        <v>85.5</v>
      </c>
      <c r="I64" s="30">
        <v>676337.41</v>
      </c>
      <c r="J64" s="31">
        <f>167465.0014 -(64890.80823*C64)-(88660.97356*D64)-(93638.37558*E64)+(1.166639942*F64)+(33.97310595*G64)+(2561.266053*H64)</f>
        <v>638743.83415776712</v>
      </c>
      <c r="K64" s="32">
        <f>I64-J64</f>
        <v>37593.575842232909</v>
      </c>
    </row>
    <row r="65" spans="1:11">
      <c r="A65" s="36" t="s">
        <v>75</v>
      </c>
      <c r="C65" s="8">
        <f>IF(B65="North",1,0)</f>
        <v>0</v>
      </c>
      <c r="D65" s="8">
        <f>IF(B65="South",1,0)</f>
        <v>0</v>
      </c>
      <c r="E65" s="8">
        <f>IF(B65="East",1,0)</f>
        <v>0</v>
      </c>
      <c r="F65" s="30">
        <v>41819.449999999997</v>
      </c>
      <c r="G65" s="30">
        <v>9412</v>
      </c>
      <c r="H65" s="30">
        <v>91</v>
      </c>
      <c r="I65" s="30">
        <v>804975.5</v>
      </c>
      <c r="J65" s="31">
        <f>167465.0014 -(64890.80823*C65)-(88660.97356*D65)-(93638.37558*E65)+(1.166639942*F65)+(33.97310595*G65)+(2561.266053*H65)</f>
        <v>769083.32614687178</v>
      </c>
      <c r="K65" s="32">
        <f>I65-J65</f>
        <v>35892.173853128217</v>
      </c>
    </row>
    <row r="66" spans="1:11">
      <c r="A66" s="36" t="s">
        <v>35</v>
      </c>
      <c r="C66" s="8">
        <f>IF(B66="North",1,0)</f>
        <v>0</v>
      </c>
      <c r="D66" s="8">
        <f>IF(B66="South",1,0)</f>
        <v>0</v>
      </c>
      <c r="E66" s="8">
        <f>IF(B66="East",1,0)</f>
        <v>0</v>
      </c>
      <c r="F66" s="30">
        <v>99874.01</v>
      </c>
      <c r="G66" s="30">
        <v>5887</v>
      </c>
      <c r="H66" s="30">
        <v>88.7</v>
      </c>
      <c r="I66" s="30">
        <v>746677.75</v>
      </c>
      <c r="J66" s="31">
        <f>167465.0014 -(64890.80823*C66)-(88660.97356*D66)-(93638.37558*E66)+(1.166639942*F66)+(33.97310595*G66)+(2561.266053*H66)</f>
        <v>711165.98426245735</v>
      </c>
      <c r="K66" s="32">
        <f>I66-J66</f>
        <v>35511.76573754265</v>
      </c>
    </row>
    <row r="67" spans="1:11">
      <c r="A67" s="36" t="s">
        <v>52</v>
      </c>
      <c r="C67" s="8">
        <f>IF(B67="North",1,0)</f>
        <v>0</v>
      </c>
      <c r="D67" s="8">
        <f>IF(B67="South",1,0)</f>
        <v>0</v>
      </c>
      <c r="E67" s="8">
        <f>IF(B67="East",1,0)</f>
        <v>0</v>
      </c>
      <c r="F67" s="30">
        <v>83044.17</v>
      </c>
      <c r="G67" s="30">
        <v>3694</v>
      </c>
      <c r="H67" s="30">
        <v>89.4</v>
      </c>
      <c r="I67" s="30">
        <v>654317.09</v>
      </c>
      <c r="J67" s="31">
        <f>167465.0014 -(64890.80823*C67)-(88660.97356*D67)-(93638.37558*E67)+(1.166639942*F67)+(33.97310595*G67)+(2561.266053*H67)</f>
        <v>618821.48558973812</v>
      </c>
      <c r="K67" s="32">
        <f>I67-J67</f>
        <v>35495.604410261847</v>
      </c>
    </row>
    <row r="68" spans="1:11">
      <c r="A68" s="36" t="s">
        <v>82</v>
      </c>
      <c r="C68" s="8">
        <f>IF(B68="North",1,0)</f>
        <v>0</v>
      </c>
      <c r="D68" s="8">
        <f>IF(B68="South",1,0)</f>
        <v>0</v>
      </c>
      <c r="E68" s="8">
        <f>IF(B68="East",1,0)</f>
        <v>0</v>
      </c>
      <c r="F68" s="30">
        <v>69900.12</v>
      </c>
      <c r="G68" s="30">
        <v>8055</v>
      </c>
      <c r="H68" s="30">
        <v>85.6</v>
      </c>
      <c r="I68" s="30">
        <v>776992.93</v>
      </c>
      <c r="J68" s="31">
        <f>167465.0014 -(64890.80823*C68)-(88660.97356*D68)-(93638.37558*E68)+(1.166639942*F68)+(33.97310595*G68)+(2561.266053*H68)</f>
        <v>741911.01590664301</v>
      </c>
      <c r="K68" s="32">
        <f>I68-J68</f>
        <v>35081.914093357045</v>
      </c>
    </row>
    <row r="69" spans="1:11">
      <c r="A69" s="36" t="s">
        <v>90</v>
      </c>
      <c r="C69" s="8">
        <f>IF(B69="North",1,0)</f>
        <v>0</v>
      </c>
      <c r="D69" s="8">
        <f>IF(B69="South",1,0)</f>
        <v>0</v>
      </c>
      <c r="E69" s="8">
        <f>IF(B69="East",1,0)</f>
        <v>0</v>
      </c>
      <c r="F69" s="30">
        <v>17562.57</v>
      </c>
      <c r="G69" s="30">
        <v>3326</v>
      </c>
      <c r="H69" s="30">
        <v>88.1</v>
      </c>
      <c r="I69" s="30">
        <v>561597.32999999996</v>
      </c>
      <c r="J69" s="31">
        <f>167465.0014 -(64890.80823*C69)-(88660.97356*D69)-(93638.37558*E69)+(1.166639942*F69)+(33.97310595*G69)+(2561.266053*H69)</f>
        <v>526596.28670517087</v>
      </c>
      <c r="K69" s="32">
        <f>I69-J69</f>
        <v>35001.043294829084</v>
      </c>
    </row>
    <row r="70" spans="1:11">
      <c r="A70" s="36" t="s">
        <v>69</v>
      </c>
      <c r="C70" s="8">
        <f>IF(B70="North",1,0)</f>
        <v>0</v>
      </c>
      <c r="D70" s="8">
        <f>IF(B70="South",1,0)</f>
        <v>0</v>
      </c>
      <c r="E70" s="8">
        <f>IF(B70="East",1,0)</f>
        <v>0</v>
      </c>
      <c r="F70" s="30">
        <v>71641.899999999994</v>
      </c>
      <c r="G70" s="30">
        <v>3506</v>
      </c>
      <c r="H70" s="30">
        <v>86.4</v>
      </c>
      <c r="I70" s="30">
        <v>625993.82999999996</v>
      </c>
      <c r="J70" s="31">
        <f>167465.0014 -(64890.80823*C70)-(88660.97356*D70)-(93638.37558*E70)+(1.166639942*F70)+(33.97310595*G70)+(2561.266053*H70)</f>
        <v>591448.39990066981</v>
      </c>
      <c r="K70" s="32">
        <f>I70-J70</f>
        <v>34545.430099330144</v>
      </c>
    </row>
    <row r="71" spans="1:11">
      <c r="A71" s="36" t="s">
        <v>75</v>
      </c>
      <c r="C71" s="8">
        <f>IF(B71="North",1,0)</f>
        <v>0</v>
      </c>
      <c r="D71" s="8">
        <f>IF(B71="South",1,0)</f>
        <v>0</v>
      </c>
      <c r="E71" s="8">
        <f>IF(B71="East",1,0)</f>
        <v>0</v>
      </c>
      <c r="F71" s="30">
        <v>50887.46</v>
      </c>
      <c r="G71" s="30">
        <v>9505</v>
      </c>
      <c r="H71" s="30">
        <v>89.7</v>
      </c>
      <c r="I71" s="30">
        <v>812152.6</v>
      </c>
      <c r="J71" s="31">
        <f>167465.0014 -(64890.80823*C71)-(88660.97356*D71)-(93638.37558*E71)+(1.166639942*F71)+(33.97310595*G71)+(2561.266053*H71)</f>
        <v>779492.28179177735</v>
      </c>
      <c r="K71" s="32">
        <f>I71-J71</f>
        <v>32660.318208222627</v>
      </c>
    </row>
    <row r="72" spans="1:11">
      <c r="A72" s="36" t="s">
        <v>98</v>
      </c>
      <c r="C72" s="8">
        <f>IF(B72="North",1,0)</f>
        <v>0</v>
      </c>
      <c r="D72" s="8">
        <f>IF(B72="South",1,0)</f>
        <v>0</v>
      </c>
      <c r="E72" s="8">
        <f>IF(B72="East",1,0)</f>
        <v>0</v>
      </c>
      <c r="F72" s="30">
        <v>54948.02</v>
      </c>
      <c r="G72" s="30">
        <v>6534</v>
      </c>
      <c r="H72" s="30">
        <v>94.5</v>
      </c>
      <c r="I72" s="30">
        <v>727957.48</v>
      </c>
      <c r="J72" s="31">
        <f>167465.0014 -(64890.80823*C72)-(88660.97356*D72)-(93638.37558*E72)+(1.166639942*F72)+(33.97310595*G72)+(2561.266053*H72)</f>
        <v>695589.47255161474</v>
      </c>
      <c r="K72" s="32">
        <f>I72-J72</f>
        <v>32368.007448385237</v>
      </c>
    </row>
    <row r="73" spans="1:11">
      <c r="A73" s="36" t="s">
        <v>59</v>
      </c>
      <c r="C73" s="8">
        <f>IF(B73="North",1,0)</f>
        <v>0</v>
      </c>
      <c r="D73" s="8">
        <f>IF(B73="South",1,0)</f>
        <v>0</v>
      </c>
      <c r="E73" s="8">
        <f>IF(B73="East",1,0)</f>
        <v>0</v>
      </c>
      <c r="F73" s="30">
        <v>71855.09</v>
      </c>
      <c r="G73" s="30">
        <v>5911</v>
      </c>
      <c r="H73" s="30">
        <v>94.3</v>
      </c>
      <c r="I73" s="30">
        <v>725847.99</v>
      </c>
      <c r="J73" s="31">
        <f>167465.0014 -(64890.80823*C73)-(88660.97356*D73)-(93638.37558*E73)+(1.166639942*F73)+(33.97310595*G73)+(2561.266053*H73)</f>
        <v>693636.4374983547</v>
      </c>
      <c r="K73" s="32">
        <f>I73-J73</f>
        <v>32211.552501645288</v>
      </c>
    </row>
    <row r="74" spans="1:11">
      <c r="A74" s="36" t="s">
        <v>88</v>
      </c>
      <c r="C74" s="8">
        <f>IF(B74="North",1,0)</f>
        <v>0</v>
      </c>
      <c r="D74" s="8">
        <f>IF(B74="South",1,0)</f>
        <v>0</v>
      </c>
      <c r="E74" s="8">
        <f>IF(B74="East",1,0)</f>
        <v>0</v>
      </c>
      <c r="F74" s="30">
        <v>67722.289999999994</v>
      </c>
      <c r="G74" s="30">
        <v>7240</v>
      </c>
      <c r="H74" s="30">
        <v>92.9</v>
      </c>
      <c r="I74" s="30">
        <v>762328.31</v>
      </c>
      <c r="J74" s="31">
        <f>167465.0014 -(64890.80823*C74)-(88660.97356*D74)-(93638.37558*E74)+(1.166639942*F74)+(33.97310595*G74)+(2561.266053*H74)</f>
        <v>730379.43327940721</v>
      </c>
      <c r="K74" s="32">
        <f>I74-J74</f>
        <v>31948.876720592845</v>
      </c>
    </row>
    <row r="75" spans="1:11">
      <c r="A75" s="36" t="s">
        <v>46</v>
      </c>
      <c r="C75" s="8">
        <f>IF(B75="North",1,0)</f>
        <v>0</v>
      </c>
      <c r="D75" s="8">
        <f>IF(B75="South",1,0)</f>
        <v>0</v>
      </c>
      <c r="E75" s="8">
        <f>IF(B75="East",1,0)</f>
        <v>0</v>
      </c>
      <c r="F75" s="30">
        <v>55101.1</v>
      </c>
      <c r="G75" s="30">
        <v>5281</v>
      </c>
      <c r="H75" s="30">
        <v>91</v>
      </c>
      <c r="I75" s="30">
        <v>675177.68</v>
      </c>
      <c r="J75" s="31">
        <f>167465.0014 -(64890.80823*C75)-(88660.97356*D75)-(93638.37558*E75)+(1.166639942*F75)+(33.97310595*G75)+(2561.266053*H75)</f>
        <v>644235.3288530861</v>
      </c>
      <c r="K75" s="32">
        <f>I75-J75</f>
        <v>30942.351146913948</v>
      </c>
    </row>
    <row r="76" spans="1:11">
      <c r="A76" s="36" t="s">
        <v>48</v>
      </c>
      <c r="C76" s="8">
        <f>IF(B76="North",1,0)</f>
        <v>0</v>
      </c>
      <c r="D76" s="8">
        <f>IF(B76="South",1,0)</f>
        <v>0</v>
      </c>
      <c r="E76" s="8">
        <f>IF(B76="East",1,0)</f>
        <v>0</v>
      </c>
      <c r="F76" s="30">
        <v>57919.07</v>
      </c>
      <c r="G76" s="30">
        <v>7374</v>
      </c>
      <c r="H76" s="30">
        <v>82.3</v>
      </c>
      <c r="I76" s="30">
        <v>727227.2</v>
      </c>
      <c r="J76" s="31">
        <f>167465.0014 -(64890.80823*C76)-(88660.97356*D76)-(93638.37558*E76)+(1.166639942*F76)+(33.97310595*G76)+(2561.266053*H76)</f>
        <v>696345.58130269393</v>
      </c>
      <c r="K76" s="32">
        <f>I76-J76</f>
        <v>30881.618697306025</v>
      </c>
    </row>
    <row r="77" spans="1:11">
      <c r="A77" s="36" t="s">
        <v>76</v>
      </c>
      <c r="C77" s="8">
        <f>IF(B77="North",1,0)</f>
        <v>0</v>
      </c>
      <c r="D77" s="8">
        <f>IF(B77="South",1,0)</f>
        <v>0</v>
      </c>
      <c r="E77" s="8">
        <f>IF(B77="East",1,0)</f>
        <v>0</v>
      </c>
      <c r="F77" s="30">
        <v>69180.539999999994</v>
      </c>
      <c r="G77" s="30">
        <v>5394</v>
      </c>
      <c r="H77" s="30">
        <v>82.9</v>
      </c>
      <c r="I77" s="30">
        <v>674289.1</v>
      </c>
      <c r="J77" s="31">
        <f>167465.0014 -(64890.80823*C77)-(88660.97356*D77)-(93638.37558*E77)+(1.166639942*F77)+(33.97310595*G77)+(2561.266053*H77)</f>
        <v>643753.67186112865</v>
      </c>
      <c r="K77" s="32">
        <f>I77-J77</f>
        <v>30535.428138871328</v>
      </c>
    </row>
    <row r="78" spans="1:11">
      <c r="A78" s="36" t="s">
        <v>56</v>
      </c>
      <c r="C78" s="8">
        <f>IF(B78="North",1,0)</f>
        <v>0</v>
      </c>
      <c r="D78" s="8">
        <f>IF(B78="South",1,0)</f>
        <v>0</v>
      </c>
      <c r="E78" s="8">
        <f>IF(B78="East",1,0)</f>
        <v>0</v>
      </c>
      <c r="F78" s="30">
        <v>75109.67</v>
      </c>
      <c r="G78" s="30">
        <v>6244</v>
      </c>
      <c r="H78" s="30">
        <v>96.3</v>
      </c>
      <c r="I78" s="30">
        <v>743348.84</v>
      </c>
      <c r="J78" s="31">
        <f>167465.0014 -(64890.80823*C78)-(88660.97356*D78)-(93638.37558*E78)+(1.166639942*F78)+(33.97310595*G78)+(2561.266053*H78)</f>
        <v>713868.93690813915</v>
      </c>
      <c r="K78" s="32">
        <f>I78-J78</f>
        <v>29479.903091860819</v>
      </c>
    </row>
    <row r="79" spans="1:11">
      <c r="A79" s="36" t="s">
        <v>47</v>
      </c>
      <c r="C79" s="8">
        <f>IF(B79="North",1,0)</f>
        <v>0</v>
      </c>
      <c r="D79" s="8">
        <f>IF(B79="South",1,0)</f>
        <v>0</v>
      </c>
      <c r="E79" s="8">
        <f>IF(B79="East",1,0)</f>
        <v>0</v>
      </c>
      <c r="F79" s="30">
        <v>90084.4</v>
      </c>
      <c r="G79" s="30">
        <v>6832</v>
      </c>
      <c r="H79" s="30">
        <v>80.5</v>
      </c>
      <c r="I79" s="30">
        <v>740102.64</v>
      </c>
      <c r="J79" s="31">
        <f>167465.0014 -(64890.80823*C79)-(88660.97356*D79)-(93638.37558*E79)+(1.166639942*F79)+(33.97310595*G79)+(2561.266053*H79)</f>
        <v>710847.23770800477</v>
      </c>
      <c r="K79" s="32">
        <f>I79-J79</f>
        <v>29255.40229199524</v>
      </c>
    </row>
    <row r="80" spans="1:11">
      <c r="A80" s="36" t="s">
        <v>91</v>
      </c>
      <c r="C80" s="8">
        <f>IF(B80="North",1,0)</f>
        <v>0</v>
      </c>
      <c r="D80" s="8">
        <f>IF(B80="South",1,0)</f>
        <v>0</v>
      </c>
      <c r="E80" s="8">
        <f>IF(B80="East",1,0)</f>
        <v>0</v>
      </c>
      <c r="F80" s="30">
        <v>36832.33</v>
      </c>
      <c r="G80" s="30">
        <v>8001</v>
      </c>
      <c r="H80" s="30">
        <v>88.7</v>
      </c>
      <c r="I80" s="30">
        <v>738548.42</v>
      </c>
      <c r="J80" s="31">
        <f>167465.0014 -(64890.80823*C80)-(88660.97356*D80)-(93638.37558*E80)+(1.166639942*F80)+(33.97310595*G80)+(2561.266053*H80)</f>
        <v>709438.18834197475</v>
      </c>
      <c r="K80" s="32">
        <f>I80-J80</f>
        <v>29110.231658025295</v>
      </c>
    </row>
    <row r="81" spans="1:11">
      <c r="A81" s="36" t="s">
        <v>92</v>
      </c>
      <c r="C81" s="8">
        <f>IF(B81="North",1,0)</f>
        <v>0</v>
      </c>
      <c r="D81" s="8">
        <f>IF(B81="South",1,0)</f>
        <v>0</v>
      </c>
      <c r="E81" s="8">
        <f>IF(B81="East",1,0)</f>
        <v>0</v>
      </c>
      <c r="F81" s="30">
        <v>66104.19</v>
      </c>
      <c r="G81" s="30">
        <v>5745</v>
      </c>
      <c r="H81" s="30">
        <v>95.8</v>
      </c>
      <c r="I81" s="30">
        <v>714083.68</v>
      </c>
      <c r="J81" s="31">
        <f>167465.0014 -(64890.80823*C81)-(88660.97356*D81)-(93638.37558*E81)+(1.166639942*F81)+(33.97310595*G81)+(2561.266053*H81)</f>
        <v>685129.57134770695</v>
      </c>
      <c r="K81" s="32">
        <f>I81-J81</f>
        <v>28954.1086522931</v>
      </c>
    </row>
    <row r="82" spans="1:11">
      <c r="A82" s="36" t="s">
        <v>49</v>
      </c>
      <c r="C82" s="8">
        <f>IF(B82="North",1,0)</f>
        <v>0</v>
      </c>
      <c r="D82" s="8">
        <f>IF(B82="South",1,0)</f>
        <v>0</v>
      </c>
      <c r="E82" s="8">
        <f>IF(B82="East",1,0)</f>
        <v>0</v>
      </c>
      <c r="F82" s="30">
        <v>75265.02</v>
      </c>
      <c r="G82" s="30">
        <v>6975</v>
      </c>
      <c r="H82" s="30">
        <v>73.8</v>
      </c>
      <c r="I82" s="30">
        <v>709478.39</v>
      </c>
      <c r="J82" s="31">
        <f>167465.0014 -(64890.80823*C82)-(88660.97356*D82)-(93638.37558*E82)+(1.166639942*F82)+(33.97310595*G82)+(2561.266053*H82)</f>
        <v>681256.0286800788</v>
      </c>
      <c r="K82" s="32">
        <f>I82-J82</f>
        <v>28222.361319921212</v>
      </c>
    </row>
    <row r="83" spans="1:11">
      <c r="A83" s="36" t="s">
        <v>86</v>
      </c>
      <c r="C83" s="8">
        <f>IF(B83="North",1,0)</f>
        <v>0</v>
      </c>
      <c r="D83" s="8">
        <f>IF(B83="South",1,0)</f>
        <v>0</v>
      </c>
      <c r="E83" s="8">
        <f>IF(B83="East",1,0)</f>
        <v>0</v>
      </c>
      <c r="F83" s="30">
        <v>28670.43</v>
      </c>
      <c r="G83" s="30">
        <v>7574</v>
      </c>
      <c r="H83" s="30">
        <v>82.7</v>
      </c>
      <c r="I83" s="30">
        <v>697888.09</v>
      </c>
      <c r="J83" s="31">
        <f>167465.0014 -(64890.80823*C83)-(88660.97356*D83)-(93638.37558*E83)+(1.166639942*F83)+(33.97310595*G83)+(2561.266053*H83)</f>
        <v>670042.07724071504</v>
      </c>
      <c r="K83" s="32">
        <f>I83-J83</f>
        <v>27846.012759284931</v>
      </c>
    </row>
    <row r="84" spans="1:11">
      <c r="A84" s="36" t="s">
        <v>22</v>
      </c>
      <c r="B84" s="12"/>
      <c r="C84" s="8">
        <f>IF(B84="North",1,0)</f>
        <v>0</v>
      </c>
      <c r="D84" s="8">
        <f>IF(B84="South",1,0)</f>
        <v>0</v>
      </c>
      <c r="E84" s="8">
        <f>IF(B84="East",1,0)</f>
        <v>0</v>
      </c>
      <c r="F84" s="30">
        <v>71828.259999999995</v>
      </c>
      <c r="G84" s="30">
        <v>12775</v>
      </c>
      <c r="H84" s="30">
        <v>81.7</v>
      </c>
      <c r="I84" s="30">
        <v>922168.6</v>
      </c>
      <c r="J84" s="31">
        <f>167465.0014 -(64890.80823*C84)-(88660.97356*D84)-(93638.37558*E84)+(1.166639942*F84)+(33.97310595*G84)+(2561.266053*H84)</f>
        <v>894524.58352171094</v>
      </c>
      <c r="K84" s="32">
        <f>I84-J84</f>
        <v>27644.016478289035</v>
      </c>
    </row>
    <row r="85" spans="1:11">
      <c r="A85" s="36" t="s">
        <v>33</v>
      </c>
      <c r="C85" s="8">
        <f>IF(B85="North",1,0)</f>
        <v>0</v>
      </c>
      <c r="D85" s="8">
        <f>IF(B85="South",1,0)</f>
        <v>0</v>
      </c>
      <c r="E85" s="8">
        <f>IF(B85="East",1,0)</f>
        <v>0</v>
      </c>
      <c r="F85" s="30">
        <v>50043.65</v>
      </c>
      <c r="G85" s="30">
        <v>3804</v>
      </c>
      <c r="H85" s="30">
        <v>90.9</v>
      </c>
      <c r="I85" s="30">
        <v>614800.09</v>
      </c>
      <c r="J85" s="31">
        <f>167465.0014 -(64890.80823*C85)-(88660.97356*D85)-(93638.37558*E85)+(1.166639942*F85)+(33.97310595*G85)+(2561.266053*H85)</f>
        <v>587900.70158496825</v>
      </c>
      <c r="K85" s="32">
        <f>I85-J85</f>
        <v>26899.388415031717</v>
      </c>
    </row>
    <row r="86" spans="1:11">
      <c r="A86" s="36" t="s">
        <v>57</v>
      </c>
      <c r="C86" s="8">
        <f>IF(B86="North",1,0)</f>
        <v>0</v>
      </c>
      <c r="D86" s="8">
        <f>IF(B86="South",1,0)</f>
        <v>0</v>
      </c>
      <c r="E86" s="8">
        <f>IF(B86="East",1,0)</f>
        <v>0</v>
      </c>
      <c r="F86" s="30">
        <v>45706.49</v>
      </c>
      <c r="G86" s="30">
        <v>6704</v>
      </c>
      <c r="H86" s="30">
        <v>94.2</v>
      </c>
      <c r="I86" s="30">
        <v>715097.57</v>
      </c>
      <c r="J86" s="31">
        <f>167465.0014 -(64890.80823*C86)-(88660.97356*D86)-(93638.37558*E86)+(1.166639942*F86)+(33.97310595*G86)+(2561.266053*H86)</f>
        <v>689814.98272402352</v>
      </c>
      <c r="K86" s="32">
        <f>I86-J86</f>
        <v>25282.587275976432</v>
      </c>
    </row>
    <row r="87" spans="1:11">
      <c r="A87" s="36" t="s">
        <v>66</v>
      </c>
      <c r="C87" s="8">
        <f>IF(B87="North",1,0)</f>
        <v>0</v>
      </c>
      <c r="D87" s="8">
        <f>IF(B87="South",1,0)</f>
        <v>0</v>
      </c>
      <c r="E87" s="8">
        <f>IF(B87="East",1,0)</f>
        <v>0</v>
      </c>
      <c r="F87" s="30">
        <v>67494.09</v>
      </c>
      <c r="G87" s="30">
        <v>12361</v>
      </c>
      <c r="H87" s="30">
        <v>76.599999999999994</v>
      </c>
      <c r="I87" s="30">
        <v>887537.75</v>
      </c>
      <c r="J87" s="31">
        <f>167465.0014 -(64890.80823*C87)-(88660.97356*D87)-(93638.37558*E87)+(1.166639942*F87)+(33.97310595*G87)+(2561.266053*H87)</f>
        <v>862340.84495069273</v>
      </c>
      <c r="K87" s="32">
        <f>I87-J87</f>
        <v>25196.905049307272</v>
      </c>
    </row>
    <row r="88" spans="1:11">
      <c r="A88" s="36" t="s">
        <v>42</v>
      </c>
      <c r="C88" s="8">
        <f>IF(B88="North",1,0)</f>
        <v>0</v>
      </c>
      <c r="D88" s="8">
        <f>IF(B88="South",1,0)</f>
        <v>0</v>
      </c>
      <c r="E88" s="8">
        <f>IF(B88="East",1,0)</f>
        <v>0</v>
      </c>
      <c r="F88" s="30">
        <v>36475.71</v>
      </c>
      <c r="G88" s="30">
        <v>3559</v>
      </c>
      <c r="H88" s="30">
        <v>83.6</v>
      </c>
      <c r="I88" s="30">
        <v>569100.78</v>
      </c>
      <c r="J88" s="31">
        <f>167465.0014 -(64890.80823*C88)-(88660.97356*D88)-(93638.37558*E88)+(1.166639942*F88)+(33.97310595*G88)+(2561.266053*H88)</f>
        <v>545051.1477056588</v>
      </c>
      <c r="K88" s="32">
        <f>I88-J88</f>
        <v>24049.632294341223</v>
      </c>
    </row>
    <row r="89" spans="1:11">
      <c r="A89" s="36" t="s">
        <v>87</v>
      </c>
      <c r="C89" s="8">
        <f>IF(B89="North",1,0)</f>
        <v>0</v>
      </c>
      <c r="D89" s="8">
        <f>IF(B89="South",1,0)</f>
        <v>0</v>
      </c>
      <c r="E89" s="8">
        <f>IF(B89="East",1,0)</f>
        <v>0</v>
      </c>
      <c r="F89" s="30">
        <v>58688.26</v>
      </c>
      <c r="G89" s="30">
        <v>4022</v>
      </c>
      <c r="H89" s="30">
        <v>93.8</v>
      </c>
      <c r="I89" s="30">
        <v>636613.23</v>
      </c>
      <c r="J89" s="31">
        <f>167465.0014 -(64890.80823*C89)-(88660.97356*D89)-(93638.37558*E89)+(1.166639942*F89)+(33.97310595*G89)+(2561.266053*H89)</f>
        <v>612819.65754478087</v>
      </c>
      <c r="K89" s="32">
        <f>I89-J89</f>
        <v>23793.57245521911</v>
      </c>
    </row>
    <row r="90" spans="1:11">
      <c r="A90" s="36" t="s">
        <v>78</v>
      </c>
      <c r="C90" s="8">
        <f>IF(B90="North",1,0)</f>
        <v>0</v>
      </c>
      <c r="D90" s="8">
        <f>IF(B90="South",1,0)</f>
        <v>0</v>
      </c>
      <c r="E90" s="8">
        <f>IF(B90="East",1,0)</f>
        <v>0</v>
      </c>
      <c r="F90" s="30">
        <v>68212.289999999994</v>
      </c>
      <c r="G90" s="30">
        <v>4713</v>
      </c>
      <c r="H90" s="30">
        <v>82.6</v>
      </c>
      <c r="I90" s="30">
        <v>641564.6</v>
      </c>
      <c r="J90" s="31">
        <f>167465.0014 -(64890.80823*C90)-(88660.97356*D90)-(93638.37558*E90)+(1.166639942*F90)+(33.97310595*G90)+(2561.266053*H90)</f>
        <v>618720.00776943716</v>
      </c>
      <c r="K90" s="32">
        <f>I90-J90</f>
        <v>22844.592230562819</v>
      </c>
    </row>
    <row r="91" spans="1:11">
      <c r="A91" s="36" t="s">
        <v>95</v>
      </c>
      <c r="C91" s="8">
        <f>IF(B91="North",1,0)</f>
        <v>0</v>
      </c>
      <c r="D91" s="8">
        <f>IF(B91="South",1,0)</f>
        <v>0</v>
      </c>
      <c r="E91" s="8">
        <f>IF(B91="East",1,0)</f>
        <v>0</v>
      </c>
      <c r="F91" s="30">
        <v>27398.28</v>
      </c>
      <c r="G91" s="30">
        <v>1723</v>
      </c>
      <c r="H91" s="30">
        <v>81</v>
      </c>
      <c r="I91" s="30">
        <v>487738.26</v>
      </c>
      <c r="J91" s="31">
        <f>167465.0014 -(64890.80823*C91)-(88660.97356*D91)-(93638.37558*E91)+(1.166639942*F91)+(33.97310595*G91)+(2561.266053*H91)</f>
        <v>465427.14103494975</v>
      </c>
      <c r="K91" s="32">
        <f>I91-J91</f>
        <v>22311.118965050264</v>
      </c>
    </row>
    <row r="92" spans="1:11">
      <c r="A92" s="36" t="s">
        <v>64</v>
      </c>
      <c r="C92" s="8">
        <f>IF(B92="North",1,0)</f>
        <v>0</v>
      </c>
      <c r="D92" s="8">
        <f>IF(B92="South",1,0)</f>
        <v>0</v>
      </c>
      <c r="E92" s="8">
        <f>IF(B92="East",1,0)</f>
        <v>0</v>
      </c>
      <c r="F92" s="30">
        <v>50825.08</v>
      </c>
      <c r="G92" s="30">
        <v>8949</v>
      </c>
      <c r="H92" s="30">
        <v>84.7</v>
      </c>
      <c r="I92" s="30">
        <v>769702.76</v>
      </c>
      <c r="J92" s="31">
        <f>167465.0014 -(64890.80823*C92)-(88660.97356*D92)-(93638.37558*E92)+(1.166639942*F92)+(33.97310595*G92)+(2561.266053*H92)</f>
        <v>747724.12961899536</v>
      </c>
      <c r="K92" s="32">
        <f>I92-J92</f>
        <v>21978.630381004652</v>
      </c>
    </row>
    <row r="93" spans="1:11">
      <c r="A93" s="36" t="s">
        <v>57</v>
      </c>
      <c r="C93" s="8">
        <f>IF(B93="North",1,0)</f>
        <v>0</v>
      </c>
      <c r="D93" s="8">
        <f>IF(B93="South",1,0)</f>
        <v>0</v>
      </c>
      <c r="E93" s="8">
        <f>IF(B93="East",1,0)</f>
        <v>0</v>
      </c>
      <c r="F93" s="30">
        <v>50198.12</v>
      </c>
      <c r="G93" s="30">
        <v>6089</v>
      </c>
      <c r="H93" s="30">
        <v>94</v>
      </c>
      <c r="I93" s="30">
        <v>695098.51</v>
      </c>
      <c r="J93" s="31">
        <f>167465.0014 -(64890.80823*C93)-(88660.97356*D93)-(93638.37558*E93)+(1.166639942*F93)+(33.97310595*G93)+(2561.266053*H93)</f>
        <v>673649.38431685895</v>
      </c>
      <c r="K93" s="32">
        <f>I93-J93</f>
        <v>21449.125683141057</v>
      </c>
    </row>
    <row r="94" spans="1:11">
      <c r="A94" s="36" t="s">
        <v>68</v>
      </c>
      <c r="C94" s="8">
        <f>IF(B94="North",1,0)</f>
        <v>0</v>
      </c>
      <c r="D94" s="8">
        <f>IF(B94="South",1,0)</f>
        <v>0</v>
      </c>
      <c r="E94" s="8">
        <f>IF(B94="East",1,0)</f>
        <v>0</v>
      </c>
      <c r="F94" s="30">
        <v>57147.88</v>
      </c>
      <c r="G94" s="30">
        <v>5252</v>
      </c>
      <c r="H94" s="30">
        <v>95.5</v>
      </c>
      <c r="I94" s="30">
        <v>678311.17</v>
      </c>
      <c r="J94" s="31">
        <f>167465.0014 -(64890.80823*C94)-(88660.97356*D94)-(93638.37558*E94)+(1.166639942*F94)+(33.97310595*G94)+(2561.266053*H94)</f>
        <v>657163.66131952289</v>
      </c>
      <c r="K94" s="32">
        <f>I94-J94</f>
        <v>21147.508680477156</v>
      </c>
    </row>
    <row r="95" spans="1:11">
      <c r="A95" s="36" t="s">
        <v>34</v>
      </c>
      <c r="C95" s="8">
        <f>IF(B95="North",1,0)</f>
        <v>0</v>
      </c>
      <c r="D95" s="8">
        <f>IF(B95="South",1,0)</f>
        <v>0</v>
      </c>
      <c r="E95" s="8">
        <f>IF(B95="East",1,0)</f>
        <v>0</v>
      </c>
      <c r="F95" s="30">
        <v>48287.85</v>
      </c>
      <c r="G95" s="30">
        <v>5150</v>
      </c>
      <c r="H95" s="30">
        <v>80.400000000000006</v>
      </c>
      <c r="I95" s="30">
        <v>625672.86</v>
      </c>
      <c r="J95" s="31">
        <f>167465.0014 -(64890.80823*C95)-(88660.97356*D95)-(93638.37558*E95)+(1.166639942*F95)+(33.97310595*G95)+(2561.266053*H95)</f>
        <v>604686.82222700468</v>
      </c>
      <c r="K95" s="32">
        <f>I95-J95</f>
        <v>20986.037772995303</v>
      </c>
    </row>
    <row r="96" spans="1:11">
      <c r="A96" s="36" t="s">
        <v>88</v>
      </c>
      <c r="C96" s="8">
        <f>IF(B96="North",1,0)</f>
        <v>0</v>
      </c>
      <c r="D96" s="8">
        <f>IF(B96="South",1,0)</f>
        <v>0</v>
      </c>
      <c r="E96" s="8">
        <f>IF(B96="East",1,0)</f>
        <v>0</v>
      </c>
      <c r="F96" s="30">
        <v>73454.539999999994</v>
      </c>
      <c r="G96" s="30">
        <v>8129</v>
      </c>
      <c r="H96" s="30">
        <v>85.2</v>
      </c>
      <c r="I96" s="30">
        <v>767792.94</v>
      </c>
      <c r="J96" s="31">
        <f>167465.0014 -(64890.80823*C96)-(88660.97356*D96)-(93638.37558*E96)+(1.166639942*F96)+(33.97310595*G96)+(2561.266053*H96)</f>
        <v>747547.24766838667</v>
      </c>
      <c r="K96" s="32">
        <f>I96-J96</f>
        <v>20245.692331613274</v>
      </c>
    </row>
    <row r="97" spans="1:11">
      <c r="A97" s="36" t="s">
        <v>59</v>
      </c>
      <c r="C97" s="8">
        <f>IF(B97="North",1,0)</f>
        <v>0</v>
      </c>
      <c r="D97" s="8">
        <f>IF(B97="South",1,0)</f>
        <v>0</v>
      </c>
      <c r="E97" s="8">
        <f>IF(B97="East",1,0)</f>
        <v>0</v>
      </c>
      <c r="F97" s="30">
        <v>43319.94</v>
      </c>
      <c r="G97" s="30">
        <v>6551</v>
      </c>
      <c r="H97" s="30">
        <v>99</v>
      </c>
      <c r="I97" s="30">
        <v>712868.35</v>
      </c>
      <c r="J97" s="31">
        <f>167465.0014 -(64890.80823*C97)-(88660.97356*D97)-(93638.37558*E97)+(1.166639942*F97)+(33.97310595*G97)+(2561.266053*H97)</f>
        <v>694126.93001449341</v>
      </c>
      <c r="K97" s="32">
        <f>I97-J97</f>
        <v>18741.419985506567</v>
      </c>
    </row>
    <row r="98" spans="1:11">
      <c r="A98" s="36" t="s">
        <v>82</v>
      </c>
      <c r="C98" s="8">
        <f>IF(B98="North",1,0)</f>
        <v>0</v>
      </c>
      <c r="D98" s="8">
        <f>IF(B98="South",1,0)</f>
        <v>0</v>
      </c>
      <c r="E98" s="8">
        <f>IF(B98="East",1,0)</f>
        <v>0</v>
      </c>
      <c r="F98" s="30">
        <v>70799.64</v>
      </c>
      <c r="G98" s="30">
        <v>10076</v>
      </c>
      <c r="H98" s="30">
        <v>84.8</v>
      </c>
      <c r="I98" s="30">
        <v>828219.67</v>
      </c>
      <c r="J98" s="31">
        <f>167465.0014 -(64890.80823*C98)-(88660.97356*D98)-(93638.37558*E98)+(1.166639942*F98)+(33.97310595*G98)+(2561.266053*H98)</f>
        <v>809571.06614982081</v>
      </c>
      <c r="K98" s="32">
        <f>I98-J98</f>
        <v>18648.603850179235</v>
      </c>
    </row>
    <row r="99" spans="1:11">
      <c r="A99" s="36" t="s">
        <v>43</v>
      </c>
      <c r="C99" s="8">
        <f>IF(B99="North",1,0)</f>
        <v>0</v>
      </c>
      <c r="D99" s="8">
        <f>IF(B99="South",1,0)</f>
        <v>0</v>
      </c>
      <c r="E99" s="8">
        <f>IF(B99="East",1,0)</f>
        <v>0</v>
      </c>
      <c r="F99" s="30">
        <v>55388.11</v>
      </c>
      <c r="G99" s="30">
        <v>3091</v>
      </c>
      <c r="H99" s="30">
        <v>85.4</v>
      </c>
      <c r="I99" s="30">
        <v>574436.29</v>
      </c>
      <c r="J99" s="31">
        <f>167465.0014 -(64890.80823*C99)-(88660.97356*D99)-(93638.37558*E99)+(1.166639942*F99)+(33.97310595*G99)+(2561.266053*H99)</f>
        <v>555825.97425553971</v>
      </c>
      <c r="K99" s="32">
        <f>I99-J99</f>
        <v>18610.315744460328</v>
      </c>
    </row>
    <row r="100" spans="1:11">
      <c r="A100" s="36" t="s">
        <v>100</v>
      </c>
      <c r="C100" s="8">
        <f>IF(B100="North",1,0)</f>
        <v>0</v>
      </c>
      <c r="D100" s="8">
        <f>IF(B100="South",1,0)</f>
        <v>0</v>
      </c>
      <c r="E100" s="8">
        <f>IF(B100="East",1,0)</f>
        <v>0</v>
      </c>
      <c r="F100" s="30">
        <v>66456.28</v>
      </c>
      <c r="G100" s="30">
        <v>9967</v>
      </c>
      <c r="H100" s="30">
        <v>94.7</v>
      </c>
      <c r="I100" s="30">
        <v>844710.67</v>
      </c>
      <c r="J100" s="31">
        <f>167465.0014 -(64890.80823*C100)-(88660.97356*D100)-(93638.37558*E100)+(1.166639942*F100)+(33.97310595*G100)+(2561.266053*H100)</f>
        <v>826157.39426748571</v>
      </c>
      <c r="K100" s="32">
        <f>I100-J100</f>
        <v>18553.275732514332</v>
      </c>
    </row>
    <row r="101" spans="1:11">
      <c r="A101" s="36" t="s">
        <v>85</v>
      </c>
      <c r="C101" s="8">
        <f>IF(B101="North",1,0)</f>
        <v>0</v>
      </c>
      <c r="D101" s="8">
        <f>IF(B101="South",1,0)</f>
        <v>0</v>
      </c>
      <c r="E101" s="8">
        <f>IF(B101="East",1,0)</f>
        <v>0</v>
      </c>
      <c r="F101" s="30">
        <v>81801.8</v>
      </c>
      <c r="G101" s="30">
        <v>6782</v>
      </c>
      <c r="H101" s="30">
        <v>99</v>
      </c>
      <c r="I101" s="30">
        <v>764949</v>
      </c>
      <c r="J101" s="31">
        <f>167465.0014 -(64890.80823*C101)-(88660.97356*D101)-(93638.37558*E101)+(1.166639942*F101)+(33.97310595*G101)+(2561.266053*H101)</f>
        <v>746869.19240739569</v>
      </c>
      <c r="K101" s="32">
        <f>I101-J101</f>
        <v>18079.807592604309</v>
      </c>
    </row>
    <row r="102" spans="1:11">
      <c r="A102" s="36" t="s">
        <v>82</v>
      </c>
      <c r="C102" s="8">
        <f>IF(B102="North",1,0)</f>
        <v>0</v>
      </c>
      <c r="D102" s="8">
        <f>IF(B102="South",1,0)</f>
        <v>0</v>
      </c>
      <c r="E102" s="8">
        <f>IF(B102="East",1,0)</f>
        <v>0</v>
      </c>
      <c r="F102" s="30">
        <v>53546.34</v>
      </c>
      <c r="G102" s="30">
        <v>8004</v>
      </c>
      <c r="H102" s="30">
        <v>95.2</v>
      </c>
      <c r="I102" s="30">
        <v>763159.92</v>
      </c>
      <c r="J102" s="31">
        <f>167465.0014 -(64890.80823*C102)-(88660.97356*D102)-(93638.37558*E102)+(1.166639942*F102)+(33.97310595*G102)+(2561.266053*H102)</f>
        <v>745687.56866131234</v>
      </c>
      <c r="K102" s="32">
        <f>I102-J102</f>
        <v>17472.351338687702</v>
      </c>
    </row>
    <row r="103" spans="1:11">
      <c r="A103" s="36" t="s">
        <v>54</v>
      </c>
      <c r="C103" s="8">
        <f>IF(B103="North",1,0)</f>
        <v>0</v>
      </c>
      <c r="D103" s="8">
        <f>IF(B103="South",1,0)</f>
        <v>0</v>
      </c>
      <c r="E103" s="8">
        <f>IF(B103="East",1,0)</f>
        <v>0</v>
      </c>
      <c r="F103" s="30">
        <v>66250.53</v>
      </c>
      <c r="G103" s="30">
        <v>10618</v>
      </c>
      <c r="H103" s="30">
        <v>88.3</v>
      </c>
      <c r="I103" s="30">
        <v>849018.3</v>
      </c>
      <c r="J103" s="31">
        <f>167465.0014 -(64890.80823*C103)-(88660.97356*D103)-(93638.37558*E103)+(1.166639942*F103)+(33.97310595*G103)+(2561.266053*H103)</f>
        <v>831641.7473336691</v>
      </c>
      <c r="K103" s="32">
        <f>I103-J103</f>
        <v>17376.552666330943</v>
      </c>
    </row>
    <row r="104" spans="1:11">
      <c r="A104" s="36" t="s">
        <v>100</v>
      </c>
      <c r="C104" s="8">
        <f>IF(B104="North",1,0)</f>
        <v>0</v>
      </c>
      <c r="D104" s="8">
        <f>IF(B104="South",1,0)</f>
        <v>0</v>
      </c>
      <c r="E104" s="8">
        <f>IF(B104="East",1,0)</f>
        <v>0</v>
      </c>
      <c r="F104" s="30">
        <v>62507.16</v>
      </c>
      <c r="G104" s="30">
        <v>6000</v>
      </c>
      <c r="H104" s="30">
        <v>98.2</v>
      </c>
      <c r="I104" s="30">
        <v>712375.77</v>
      </c>
      <c r="J104" s="31">
        <f>167465.0014 -(64890.80823*C104)-(88660.97356*D104)-(93638.37558*E104)+(1.166639942*F104)+(33.97310595*G104)+(2561.266053*H104)</f>
        <v>695743.31302158465</v>
      </c>
      <c r="K104" s="32">
        <f>I104-J104</f>
        <v>16632.456978415372</v>
      </c>
    </row>
    <row r="105" spans="1:11">
      <c r="A105" s="36" t="s">
        <v>88</v>
      </c>
      <c r="C105" s="8">
        <f>IF(B105="North",1,0)</f>
        <v>0</v>
      </c>
      <c r="D105" s="8">
        <f>IF(B105="South",1,0)</f>
        <v>0</v>
      </c>
      <c r="E105" s="8">
        <f>IF(B105="East",1,0)</f>
        <v>0</v>
      </c>
      <c r="F105" s="30">
        <v>56602.39</v>
      </c>
      <c r="G105" s="30">
        <v>7969</v>
      </c>
      <c r="H105" s="30">
        <v>88.3</v>
      </c>
      <c r="I105" s="30">
        <v>745580.51</v>
      </c>
      <c r="J105" s="31">
        <f>167465.0014 -(64890.80823*C105)-(88660.97356*D105)-(93638.37558*E105)+(1.166639942*F105)+(33.97310595*G105)+(2561.266053*H105)</f>
        <v>730391.08418211131</v>
      </c>
      <c r="K105" s="32">
        <f>I105-J105</f>
        <v>15189.425817888696</v>
      </c>
    </row>
    <row r="106" spans="1:11">
      <c r="A106" s="36" t="s">
        <v>76</v>
      </c>
      <c r="C106" s="8">
        <f>IF(B106="North",1,0)</f>
        <v>0</v>
      </c>
      <c r="D106" s="8">
        <f>IF(B106="South",1,0)</f>
        <v>0</v>
      </c>
      <c r="E106" s="8">
        <f>IF(B106="East",1,0)</f>
        <v>0</v>
      </c>
      <c r="F106" s="30">
        <v>16451.849999999999</v>
      </c>
      <c r="G106" s="30">
        <v>4678</v>
      </c>
      <c r="H106" s="30">
        <v>95.9</v>
      </c>
      <c r="I106" s="30">
        <v>606278.30000000005</v>
      </c>
      <c r="J106" s="31">
        <f>167465.0014 -(64890.80823*C106)-(88660.97356*D106)-(93638.37558*E106)+(1.166639942*F106)+(33.97310595*G106)+(2561.266053*H106)</f>
        <v>591209.9908465927</v>
      </c>
      <c r="K106" s="32">
        <f>I106-J106</f>
        <v>15068.309153407346</v>
      </c>
    </row>
    <row r="107" spans="1:11">
      <c r="A107" s="36" t="s">
        <v>25</v>
      </c>
      <c r="C107" s="8">
        <f>IF(B107="North",1,0)</f>
        <v>0</v>
      </c>
      <c r="D107" s="8">
        <f>IF(B107="South",1,0)</f>
        <v>0</v>
      </c>
      <c r="E107" s="8">
        <f>IF(B107="East",1,0)</f>
        <v>0</v>
      </c>
      <c r="F107" s="30">
        <v>42267.37</v>
      </c>
      <c r="G107" s="30">
        <v>3364</v>
      </c>
      <c r="H107" s="30">
        <v>82</v>
      </c>
      <c r="I107" s="30">
        <v>555929.4</v>
      </c>
      <c r="J107" s="31">
        <f>167465.0014 -(64890.80823*C107)-(88660.97356*D107)-(93638.37558*E107)+(1.166639942*F107)+(33.97310595*G107)+(2561.266053*H107)</f>
        <v>541085.1482470925</v>
      </c>
      <c r="K107" s="32">
        <f>I107-J107</f>
        <v>14844.251752907527</v>
      </c>
    </row>
    <row r="108" spans="1:11">
      <c r="A108" s="36" t="s">
        <v>100</v>
      </c>
      <c r="C108" s="8">
        <f>IF(B108="North",1,0)</f>
        <v>0</v>
      </c>
      <c r="D108" s="8">
        <f>IF(B108="South",1,0)</f>
        <v>0</v>
      </c>
      <c r="E108" s="8">
        <f>IF(B108="East",1,0)</f>
        <v>0</v>
      </c>
      <c r="F108" s="30">
        <v>78967.520000000004</v>
      </c>
      <c r="G108" s="30">
        <v>6164</v>
      </c>
      <c r="H108" s="30">
        <v>85.5</v>
      </c>
      <c r="I108" s="30">
        <v>702052.47</v>
      </c>
      <c r="J108" s="31">
        <f>167465.0014 -(64890.80823*C108)-(88660.97356*D108)-(93638.37558*E108)+(1.166639942*F108)+(33.97310595*G108)+(2561.266053*H108)</f>
        <v>687990.13695998373</v>
      </c>
      <c r="K108" s="32">
        <f>I108-J108</f>
        <v>14062.333040016238</v>
      </c>
    </row>
    <row r="109" spans="1:11">
      <c r="A109" s="36" t="s">
        <v>32</v>
      </c>
      <c r="C109" s="8">
        <f>IF(B109="North",1,0)</f>
        <v>0</v>
      </c>
      <c r="D109" s="8">
        <f>IF(B109="South",1,0)</f>
        <v>0</v>
      </c>
      <c r="E109" s="8">
        <f>IF(B109="East",1,0)</f>
        <v>0</v>
      </c>
      <c r="F109" s="30">
        <v>64882.14</v>
      </c>
      <c r="G109" s="30">
        <v>3642</v>
      </c>
      <c r="H109" s="30">
        <v>87.8</v>
      </c>
      <c r="I109" s="30">
        <v>605178</v>
      </c>
      <c r="J109" s="31">
        <f>167465.0014 -(64890.80823*C109)-(88660.97356*D109)-(93638.37558*E109)+(1.166639942*F109)+(33.97310595*G109)+(2561.266053*H109)</f>
        <v>591768.30876973586</v>
      </c>
      <c r="K109" s="32">
        <f>I109-J109</f>
        <v>13409.691230264143</v>
      </c>
    </row>
    <row r="110" spans="1:11">
      <c r="A110" s="36" t="s">
        <v>84</v>
      </c>
      <c r="C110" s="8">
        <f>IF(B110="North",1,0)</f>
        <v>0</v>
      </c>
      <c r="D110" s="8">
        <f>IF(B110="South",1,0)</f>
        <v>0</v>
      </c>
      <c r="E110" s="8">
        <f>IF(B110="East",1,0)</f>
        <v>0</v>
      </c>
      <c r="F110" s="30">
        <v>97480.94</v>
      </c>
      <c r="G110" s="30">
        <v>6840</v>
      </c>
      <c r="H110" s="30">
        <v>79.2</v>
      </c>
      <c r="I110" s="30">
        <v>729440.45</v>
      </c>
      <c r="J110" s="31">
        <f>167465.0014 -(64890.80823*C110)-(88660.97356*D110)-(93638.37558*E110)+(1.166639942*F110)+(33.97310595*G110)+(2561.266053*H110)</f>
        <v>716418.47568330541</v>
      </c>
      <c r="K110" s="32">
        <f>I110-J110</f>
        <v>13021.974316694541</v>
      </c>
    </row>
    <row r="111" spans="1:11">
      <c r="A111" s="36" t="s">
        <v>63</v>
      </c>
      <c r="C111" s="8">
        <f>IF(B111="North",1,0)</f>
        <v>0</v>
      </c>
      <c r="D111" s="8">
        <f>IF(B111="South",1,0)</f>
        <v>0</v>
      </c>
      <c r="E111" s="8">
        <f>IF(B111="East",1,0)</f>
        <v>0</v>
      </c>
      <c r="F111" s="30">
        <v>78432.14</v>
      </c>
      <c r="G111" s="30">
        <v>9440</v>
      </c>
      <c r="H111" s="30">
        <v>89.2</v>
      </c>
      <c r="I111" s="30">
        <v>820729.29</v>
      </c>
      <c r="J111" s="31">
        <f>167465.0014 -(64890.80823*C111)-(88660.97356*D111)-(93638.37558*E111)+(1.166639942*F111)+(33.97310595*G111)+(2561.266053*H111)</f>
        <v>808138.12075613579</v>
      </c>
      <c r="K111" s="32">
        <f>I111-J111</f>
        <v>12591.169243864249</v>
      </c>
    </row>
    <row r="112" spans="1:11">
      <c r="A112" s="36" t="s">
        <v>26</v>
      </c>
      <c r="C112" s="8">
        <f>IF(B112="North",1,0)</f>
        <v>0</v>
      </c>
      <c r="D112" s="8">
        <f>IF(B112="South",1,0)</f>
        <v>0</v>
      </c>
      <c r="E112" s="8">
        <f>IF(B112="East",1,0)</f>
        <v>0</v>
      </c>
      <c r="F112" s="30">
        <v>52715.1</v>
      </c>
      <c r="G112" s="30">
        <v>7223</v>
      </c>
      <c r="H112" s="30">
        <v>84.2</v>
      </c>
      <c r="I112" s="30">
        <v>701641.97</v>
      </c>
      <c r="J112" s="31">
        <f>167465.0014 -(64890.80823*C112)-(88660.97356*D112)-(93638.37558*E112)+(1.166639942*F112)+(33.97310595*G112)+(2561.266053*H112)</f>
        <v>690010.88854597416</v>
      </c>
      <c r="K112" s="32">
        <f>I112-J112</f>
        <v>11631.081454025814</v>
      </c>
    </row>
    <row r="113" spans="1:11">
      <c r="A113" s="36" t="s">
        <v>95</v>
      </c>
      <c r="C113" s="8">
        <f>IF(B113="North",1,0)</f>
        <v>0</v>
      </c>
      <c r="D113" s="8">
        <f>IF(B113="South",1,0)</f>
        <v>0</v>
      </c>
      <c r="E113" s="8">
        <f>IF(B113="East",1,0)</f>
        <v>0</v>
      </c>
      <c r="F113" s="30">
        <v>40102.879999999997</v>
      </c>
      <c r="G113" s="30">
        <v>2358</v>
      </c>
      <c r="H113" s="30">
        <v>88.7</v>
      </c>
      <c r="I113" s="30">
        <v>533121.26</v>
      </c>
      <c r="J113" s="31">
        <f>167465.0014 -(64890.80823*C113)-(88660.97356*D113)-(93638.37558*E113)+(1.166639942*F113)+(33.97310595*G113)+(2561.266053*H113)</f>
        <v>521543.50572843297</v>
      </c>
      <c r="K113" s="32">
        <f>I113-J113</f>
        <v>11577.754271567042</v>
      </c>
    </row>
    <row r="114" spans="1:11">
      <c r="A114" s="36" t="s">
        <v>56</v>
      </c>
      <c r="C114" s="8">
        <f>IF(B114="North",1,0)</f>
        <v>0</v>
      </c>
      <c r="D114" s="8">
        <f>IF(B114="South",1,0)</f>
        <v>0</v>
      </c>
      <c r="E114" s="8">
        <f>IF(B114="East",1,0)</f>
        <v>0</v>
      </c>
      <c r="F114" s="30">
        <v>44211.95</v>
      </c>
      <c r="G114" s="30">
        <v>5465</v>
      </c>
      <c r="H114" s="30">
        <v>90</v>
      </c>
      <c r="I114" s="30">
        <v>646559.71</v>
      </c>
      <c r="J114" s="31">
        <f>167465.0014 -(64890.80823*C114)-(88660.97356*D114)-(93638.37558*E114)+(1.166639942*F114)+(33.97310595*G114)+(2561.266053*H114)</f>
        <v>635221.39697045682</v>
      </c>
      <c r="K114" s="32">
        <f>I114-J114</f>
        <v>11338.313029543147</v>
      </c>
    </row>
    <row r="115" spans="1:11">
      <c r="A115" s="36" t="s">
        <v>22</v>
      </c>
      <c r="C115" s="8">
        <f>IF(B115="North",1,0)</f>
        <v>0</v>
      </c>
      <c r="D115" s="8">
        <f>IF(B115="South",1,0)</f>
        <v>0</v>
      </c>
      <c r="E115" s="8">
        <f>IF(B115="East",1,0)</f>
        <v>0</v>
      </c>
      <c r="F115" s="30">
        <v>75305.710000000006</v>
      </c>
      <c r="G115" s="30">
        <v>10940</v>
      </c>
      <c r="H115" s="30">
        <v>76.5</v>
      </c>
      <c r="I115" s="30">
        <v>834017.02</v>
      </c>
      <c r="J115" s="31">
        <f>167465.0014 -(64890.80823*C115)-(88660.97356*D115)-(93638.37558*E115)+(1.166639942*F115)+(33.97310595*G115)+(2561.266053*H115)</f>
        <v>822922.28269416885</v>
      </c>
      <c r="K115" s="32">
        <f>I115-J115</f>
        <v>11094.737305831164</v>
      </c>
    </row>
    <row r="116" spans="1:11">
      <c r="A116" s="36" t="s">
        <v>86</v>
      </c>
      <c r="C116" s="8">
        <f>IF(B116="North",1,0)</f>
        <v>0</v>
      </c>
      <c r="D116" s="8">
        <f>IF(B116="South",1,0)</f>
        <v>0</v>
      </c>
      <c r="E116" s="8">
        <f>IF(B116="East",1,0)</f>
        <v>0</v>
      </c>
      <c r="F116" s="30">
        <v>44189.34</v>
      </c>
      <c r="G116" s="30">
        <v>8634</v>
      </c>
      <c r="H116" s="30">
        <v>87.5</v>
      </c>
      <c r="I116" s="30">
        <v>746115.59</v>
      </c>
      <c r="J116" s="31">
        <f>167465.0014 -(64890.80823*C116)-(88660.97356*D116)-(93638.37558*E116)+(1.166639942*F116)+(33.97310595*G116)+(2561.266053*H116)</f>
        <v>736452.62686441827</v>
      </c>
      <c r="K116" s="32">
        <f>I116-J116</f>
        <v>9662.9631355816964</v>
      </c>
    </row>
    <row r="117" spans="1:11">
      <c r="A117" s="36" t="s">
        <v>87</v>
      </c>
      <c r="C117" s="8">
        <f>IF(B117="North",1,0)</f>
        <v>0</v>
      </c>
      <c r="D117" s="8">
        <f>IF(B117="South",1,0)</f>
        <v>0</v>
      </c>
      <c r="E117" s="8">
        <f>IF(B117="East",1,0)</f>
        <v>0</v>
      </c>
      <c r="F117" s="30">
        <v>14519.37</v>
      </c>
      <c r="G117" s="30">
        <v>3047</v>
      </c>
      <c r="H117" s="30">
        <v>90.3</v>
      </c>
      <c r="I117" s="30">
        <v>528852.62</v>
      </c>
      <c r="J117" s="31">
        <f>167465.0014 -(64890.80823*C117)-(88660.97356*D117)-(93638.37558*E117)+(1.166639942*F117)+(33.97310595*G117)+(2561.266053*H117)</f>
        <v>519202.25679022644</v>
      </c>
      <c r="K117" s="32">
        <f>I117-J117</f>
        <v>9650.3632097735535</v>
      </c>
    </row>
    <row r="118" spans="1:11">
      <c r="A118" s="36" t="s">
        <v>32</v>
      </c>
      <c r="C118" s="8">
        <f>IF(B118="North",1,0)</f>
        <v>0</v>
      </c>
      <c r="D118" s="8">
        <f>IF(B118="South",1,0)</f>
        <v>0</v>
      </c>
      <c r="E118" s="8">
        <f>IF(B118="East",1,0)</f>
        <v>0</v>
      </c>
      <c r="F118" s="30">
        <v>40462.94</v>
      </c>
      <c r="G118" s="30">
        <v>3660</v>
      </c>
      <c r="H118" s="30">
        <v>95.2</v>
      </c>
      <c r="I118" s="30">
        <v>592195.85</v>
      </c>
      <c r="J118" s="31">
        <f>167465.0014 -(64890.80823*C118)-(88660.97356*D118)-(93638.37558*E118)+(1.166639942*F118)+(33.97310595*G118)+(2561.266053*H118)</f>
        <v>582844.77939734957</v>
      </c>
      <c r="K118" s="32">
        <f>I118-J118</f>
        <v>9351.0706026504049</v>
      </c>
    </row>
    <row r="119" spans="1:11">
      <c r="A119" s="36" t="s">
        <v>32</v>
      </c>
      <c r="C119" s="8">
        <f>IF(B119="North",1,0)</f>
        <v>0</v>
      </c>
      <c r="D119" s="8">
        <f>IF(B119="South",1,0)</f>
        <v>0</v>
      </c>
      <c r="E119" s="8">
        <f>IF(B119="East",1,0)</f>
        <v>0</v>
      </c>
      <c r="F119" s="30">
        <v>46123.88</v>
      </c>
      <c r="G119" s="30">
        <v>3227</v>
      </c>
      <c r="H119" s="30">
        <v>75.400000000000006</v>
      </c>
      <c r="I119" s="30">
        <v>532644.46</v>
      </c>
      <c r="J119" s="31">
        <f>167465.0014 -(64890.80823*C119)-(88660.97356*D119)-(93638.37558*E119)+(1.166639942*F119)+(33.97310595*G119)+(2561.266053*H119)</f>
        <v>524025.63538486493</v>
      </c>
      <c r="K119" s="32">
        <f>I119-J119</f>
        <v>8618.8246151350322</v>
      </c>
    </row>
    <row r="120" spans="1:11">
      <c r="A120" s="36" t="s">
        <v>83</v>
      </c>
      <c r="C120" s="8">
        <f>IF(B120="North",1,0)</f>
        <v>0</v>
      </c>
      <c r="D120" s="8">
        <f>IF(B120="South",1,0)</f>
        <v>0</v>
      </c>
      <c r="E120" s="8">
        <f>IF(B120="East",1,0)</f>
        <v>0</v>
      </c>
      <c r="F120" s="30">
        <v>76942.2</v>
      </c>
      <c r="G120" s="30">
        <v>8934</v>
      </c>
      <c r="H120" s="30">
        <v>91</v>
      </c>
      <c r="I120" s="30">
        <v>802001.68</v>
      </c>
      <c r="J120" s="31">
        <f>167465.0014 -(64890.80823*C120)-(88660.97356*D120)-(93638.37558*E120)+(1.166639942*F120)+(33.97310595*G120)+(2561.266053*H120)</f>
        <v>793819.78452565242</v>
      </c>
      <c r="K120" s="32">
        <f>I120-J120</f>
        <v>8181.8954743476352</v>
      </c>
    </row>
    <row r="121" spans="1:11">
      <c r="A121" s="36" t="s">
        <v>81</v>
      </c>
      <c r="C121" s="8">
        <f>IF(B121="North",1,0)</f>
        <v>0</v>
      </c>
      <c r="D121" s="8">
        <f>IF(B121="South",1,0)</f>
        <v>0</v>
      </c>
      <c r="E121" s="8">
        <f>IF(B121="East",1,0)</f>
        <v>0</v>
      </c>
      <c r="F121" s="30">
        <v>26248.1</v>
      </c>
      <c r="G121" s="30">
        <v>9314</v>
      </c>
      <c r="H121" s="30">
        <v>83.7</v>
      </c>
      <c r="I121" s="30">
        <v>737070.18</v>
      </c>
      <c r="J121" s="31">
        <f>167465.0014 -(64890.80823*C121)-(88660.97356*D121)-(93638.37558*E121)+(1.166639942*F121)+(33.97310595*G121)+(2561.266053*H121)</f>
        <v>728890.56071601016</v>
      </c>
      <c r="K121" s="32">
        <f>I121-J121</f>
        <v>8179.6192839898868</v>
      </c>
    </row>
    <row r="122" spans="1:11">
      <c r="A122" s="36" t="s">
        <v>49</v>
      </c>
      <c r="C122" s="8">
        <f>IF(B122="North",1,0)</f>
        <v>0</v>
      </c>
      <c r="D122" s="8">
        <f>IF(B122="South",1,0)</f>
        <v>0</v>
      </c>
      <c r="E122" s="8">
        <f>IF(B122="East",1,0)</f>
        <v>0</v>
      </c>
      <c r="F122" s="30">
        <v>69411.7</v>
      </c>
      <c r="G122" s="30">
        <v>5493</v>
      </c>
      <c r="H122" s="30">
        <v>86.5</v>
      </c>
      <c r="I122" s="30">
        <v>664162.49</v>
      </c>
      <c r="J122" s="31">
        <f>167465.0014 -(64890.80823*C122)-(88660.97356*D122)-(93638.37558*E122)+(1.166639942*F122)+(33.97310595*G122)+(2561.266053*H122)</f>
        <v>656607.24762997136</v>
      </c>
      <c r="K122" s="32">
        <f>I122-J122</f>
        <v>7555.2423700286308</v>
      </c>
    </row>
    <row r="123" spans="1:11">
      <c r="A123" s="36" t="s">
        <v>31</v>
      </c>
      <c r="C123" s="8">
        <f>IF(B123="North",1,0)</f>
        <v>0</v>
      </c>
      <c r="D123" s="8">
        <f>IF(B123="South",1,0)</f>
        <v>0</v>
      </c>
      <c r="E123" s="8">
        <f>IF(B123="East",1,0)</f>
        <v>0</v>
      </c>
      <c r="F123" s="30">
        <v>65012.19</v>
      </c>
      <c r="G123" s="30">
        <v>9598</v>
      </c>
      <c r="H123" s="30">
        <v>98.3</v>
      </c>
      <c r="I123" s="30">
        <v>828623.85</v>
      </c>
      <c r="J123" s="31">
        <f>167465.0014 -(64890.80823*C123)-(88660.97356*D123)-(93638.37558*E123)+(1.166639942*F123)+(33.97310595*G123)+(2561.266053*H123)</f>
        <v>821157.14288889291</v>
      </c>
      <c r="K123" s="32">
        <f>I123-J123</f>
        <v>7466.7071111070691</v>
      </c>
    </row>
    <row r="124" spans="1:11">
      <c r="A124" s="36" t="s">
        <v>34</v>
      </c>
      <c r="C124" s="8">
        <f>IF(B124="North",1,0)</f>
        <v>0</v>
      </c>
      <c r="D124" s="8">
        <f>IF(B124="South",1,0)</f>
        <v>0</v>
      </c>
      <c r="E124" s="8">
        <f>IF(B124="East",1,0)</f>
        <v>0</v>
      </c>
      <c r="F124" s="30">
        <v>49710.29</v>
      </c>
      <c r="G124" s="30">
        <v>5559</v>
      </c>
      <c r="H124" s="30">
        <v>71</v>
      </c>
      <c r="I124" s="30">
        <v>603297.56999999995</v>
      </c>
      <c r="J124" s="31">
        <f>167465.0014 -(64890.80823*C124)-(88660.97356*D124)-(93638.37558*E124)+(1.166639942*F124)+(33.97310595*G124)+(2561.266053*H124)</f>
        <v>596165.39698145317</v>
      </c>
      <c r="K124" s="32">
        <f>I124-J124</f>
        <v>7132.173018546775</v>
      </c>
    </row>
    <row r="125" spans="1:11">
      <c r="A125" s="36" t="s">
        <v>38</v>
      </c>
      <c r="C125" s="8">
        <f>IF(B125="North",1,0)</f>
        <v>0</v>
      </c>
      <c r="D125" s="8">
        <f>IF(B125="South",1,0)</f>
        <v>0</v>
      </c>
      <c r="E125" s="8">
        <f>IF(B125="East",1,0)</f>
        <v>0</v>
      </c>
      <c r="F125" s="30">
        <v>42018.400000000001</v>
      </c>
      <c r="G125" s="30">
        <v>8296</v>
      </c>
      <c r="H125" s="30">
        <v>91.8</v>
      </c>
      <c r="I125" s="30">
        <v>740496.65</v>
      </c>
      <c r="J125" s="31">
        <f>167465.0014 -(64890.80823*C125)-(88660.97356*D125)-(93638.37558*E125)+(1.166639942*F125)+(33.97310595*G125)+(2561.266053*H125)</f>
        <v>733450.4557655328</v>
      </c>
      <c r="K125" s="32">
        <f>I125-J125</f>
        <v>7046.1942344672279</v>
      </c>
    </row>
    <row r="126" spans="1:11">
      <c r="A126" s="36" t="s">
        <v>75</v>
      </c>
      <c r="C126" s="8">
        <f>IF(B126="North",1,0)</f>
        <v>0</v>
      </c>
      <c r="D126" s="8">
        <f>IF(B126="South",1,0)</f>
        <v>0</v>
      </c>
      <c r="E126" s="8">
        <f>IF(B126="East",1,0)</f>
        <v>0</v>
      </c>
      <c r="F126" s="30">
        <v>47391.09</v>
      </c>
      <c r="G126" s="30">
        <v>11224</v>
      </c>
      <c r="H126" s="30">
        <v>88.4</v>
      </c>
      <c r="I126" s="30">
        <v>836908.24</v>
      </c>
      <c r="J126" s="31">
        <f>167465.0014 -(64890.80823*C126)-(88660.97356*D126)-(93638.37558*E126)+(1.166639942*F126)+(33.97310595*G126)+(2561.266053*H126)</f>
        <v>830483.40015691682</v>
      </c>
      <c r="K126" s="32">
        <f>I126-J126</f>
        <v>6424.839843083173</v>
      </c>
    </row>
    <row r="127" spans="1:11">
      <c r="A127" s="36" t="s">
        <v>17</v>
      </c>
      <c r="C127" s="8">
        <f>IF(B127="North",1,0)</f>
        <v>0</v>
      </c>
      <c r="D127" s="8">
        <f>IF(B127="South",1,0)</f>
        <v>0</v>
      </c>
      <c r="E127" s="8">
        <f>IF(B127="East",1,0)</f>
        <v>0</v>
      </c>
      <c r="F127" s="30">
        <v>46213.45</v>
      </c>
      <c r="G127" s="30">
        <v>10616</v>
      </c>
      <c r="H127" s="30">
        <v>85.2</v>
      </c>
      <c r="I127" s="30">
        <v>806615.54</v>
      </c>
      <c r="J127" s="31">
        <f>167465.0014 -(64890.80823*C127)-(88660.97356*D127)-(93638.37558*E127)+(1.166639942*F127)+(33.97310595*G127)+(2561.266053*H127)</f>
        <v>800257.81850841991</v>
      </c>
      <c r="K127" s="32">
        <f>I127-J127</f>
        <v>6357.7214915801305</v>
      </c>
    </row>
    <row r="128" spans="1:11">
      <c r="A128" s="36" t="s">
        <v>90</v>
      </c>
      <c r="C128" s="8">
        <f>IF(B128="North",1,0)</f>
        <v>0</v>
      </c>
      <c r="D128" s="8">
        <f>IF(B128="South",1,0)</f>
        <v>0</v>
      </c>
      <c r="E128" s="8">
        <f>IF(B128="East",1,0)</f>
        <v>0</v>
      </c>
      <c r="F128" s="30">
        <v>50532.17</v>
      </c>
      <c r="G128" s="30">
        <v>5689</v>
      </c>
      <c r="H128" s="30">
        <v>85.6</v>
      </c>
      <c r="I128" s="30">
        <v>645039.97</v>
      </c>
      <c r="J128" s="31">
        <f>167465.0014 -(64890.80823*C128)-(88660.97356*D128)-(93638.37558*E128)+(1.166639942*F128)+(33.97310595*G128)+(2561.266053*H128)</f>
        <v>638935.22316428414</v>
      </c>
      <c r="K128" s="32">
        <f>I128-J128</f>
        <v>6104.7468357158359</v>
      </c>
    </row>
    <row r="129" spans="1:11">
      <c r="A129" s="36" t="s">
        <v>80</v>
      </c>
      <c r="C129" s="8">
        <f>IF(B129="North",1,0)</f>
        <v>0</v>
      </c>
      <c r="D129" s="8">
        <f>IF(B129="South",1,0)</f>
        <v>0</v>
      </c>
      <c r="E129" s="8">
        <f>IF(B129="East",1,0)</f>
        <v>0</v>
      </c>
      <c r="F129" s="30">
        <v>62582.71</v>
      </c>
      <c r="G129" s="30">
        <v>5479</v>
      </c>
      <c r="H129" s="30">
        <v>81.2</v>
      </c>
      <c r="I129" s="30">
        <v>640666.53</v>
      </c>
      <c r="J129" s="31">
        <f>167465.0014 -(64890.80823*C129)-(88660.97356*D129)-(93638.37558*E129)+(1.166639942*F129)+(33.97310595*G129)+(2561.266053*H129)</f>
        <v>634589.94156825286</v>
      </c>
      <c r="K129" s="32">
        <f>I129-J129</f>
        <v>6076.5884317471646</v>
      </c>
    </row>
    <row r="130" spans="1:11">
      <c r="A130" s="36" t="s">
        <v>69</v>
      </c>
      <c r="C130" s="8">
        <f>IF(B130="North",1,0)</f>
        <v>0</v>
      </c>
      <c r="D130" s="8">
        <f>IF(B130="South",1,0)</f>
        <v>0</v>
      </c>
      <c r="E130" s="8">
        <f>IF(B130="East",1,0)</f>
        <v>0</v>
      </c>
      <c r="F130" s="30">
        <v>55788.61</v>
      </c>
      <c r="G130" s="30">
        <v>2312</v>
      </c>
      <c r="H130" s="30">
        <v>91.3</v>
      </c>
      <c r="I130" s="30">
        <v>550962.93000000005</v>
      </c>
      <c r="J130" s="31">
        <f>167465.0014 -(64890.80823*C130)-(88660.97356*D130)-(93638.37558*E130)+(1.166639942*F130)+(33.97310595*G130)+(2561.266053*H130)</f>
        <v>544939.63372996065</v>
      </c>
      <c r="K130" s="32">
        <f>I130-J130</f>
        <v>6023.2962700393982</v>
      </c>
    </row>
    <row r="131" spans="1:11">
      <c r="A131" s="36" t="s">
        <v>94</v>
      </c>
      <c r="C131" s="8">
        <f>IF(B131="North",1,0)</f>
        <v>0</v>
      </c>
      <c r="D131" s="8">
        <f>IF(B131="South",1,0)</f>
        <v>0</v>
      </c>
      <c r="E131" s="8">
        <f>IF(B131="East",1,0)</f>
        <v>0</v>
      </c>
      <c r="F131" s="30">
        <v>70012.41</v>
      </c>
      <c r="G131" s="30">
        <v>8484</v>
      </c>
      <c r="H131" s="30">
        <v>72.900000000000006</v>
      </c>
      <c r="I131" s="30">
        <v>729424.42</v>
      </c>
      <c r="J131" s="31">
        <f>167465.0014 -(64890.80823*C131)-(88660.97356*D131)-(93638.37558*E131)+(1.166639942*F131)+(33.97310595*G131)+(2561.266053*H131)</f>
        <v>724088.40148518025</v>
      </c>
      <c r="K131" s="32">
        <f>I131-J131</f>
        <v>5336.0185148197925</v>
      </c>
    </row>
    <row r="132" spans="1:11">
      <c r="A132" s="36" t="s">
        <v>33</v>
      </c>
      <c r="C132" s="8">
        <f>IF(B132="North",1,0)</f>
        <v>0</v>
      </c>
      <c r="D132" s="8">
        <f>IF(B132="South",1,0)</f>
        <v>0</v>
      </c>
      <c r="E132" s="8">
        <f>IF(B132="East",1,0)</f>
        <v>0</v>
      </c>
      <c r="F132" s="30">
        <v>42093.84</v>
      </c>
      <c r="G132" s="30">
        <v>4074</v>
      </c>
      <c r="H132" s="30">
        <v>88</v>
      </c>
      <c r="I132" s="30">
        <v>585365.73</v>
      </c>
      <c r="J132" s="31">
        <f>167465.0014 -(64890.80823*C132)-(88660.97356*D132)-(93638.37558*E132)+(1.166639942*F132)+(33.97310595*G132)+(2561.266053*H132)</f>
        <v>580371.20276045718</v>
      </c>
      <c r="K132" s="32">
        <f>I132-J132</f>
        <v>4994.5272395428037</v>
      </c>
    </row>
    <row r="133" spans="1:11">
      <c r="A133" s="36" t="s">
        <v>39</v>
      </c>
      <c r="C133" s="8">
        <f>IF(B133="North",1,0)</f>
        <v>0</v>
      </c>
      <c r="D133" s="8">
        <f>IF(B133="South",1,0)</f>
        <v>0</v>
      </c>
      <c r="E133" s="8">
        <f>IF(B133="East",1,0)</f>
        <v>0</v>
      </c>
      <c r="F133" s="30">
        <v>60571.82</v>
      </c>
      <c r="G133" s="30">
        <v>3193</v>
      </c>
      <c r="H133" s="30">
        <v>99</v>
      </c>
      <c r="I133" s="30">
        <v>605023.87</v>
      </c>
      <c r="J133" s="31">
        <f>167465.0014 -(64890.80823*C133)-(88660.97356*D133)-(93638.37558*E133)+(1.166639942*F133)+(33.97310595*G133)+(2561.266053*H133)</f>
        <v>600171.97251698445</v>
      </c>
      <c r="K133" s="32">
        <f>I133-J133</f>
        <v>4851.8974830155494</v>
      </c>
    </row>
    <row r="134" spans="1:11">
      <c r="A134" s="36" t="s">
        <v>36</v>
      </c>
      <c r="C134" s="8">
        <f>IF(B134="North",1,0)</f>
        <v>0</v>
      </c>
      <c r="D134" s="8">
        <f>IF(B134="South",1,0)</f>
        <v>0</v>
      </c>
      <c r="E134" s="8">
        <f>IF(B134="East",1,0)</f>
        <v>0</v>
      </c>
      <c r="F134" s="30">
        <v>19365.060000000001</v>
      </c>
      <c r="G134" s="30">
        <v>2378</v>
      </c>
      <c r="H134" s="30">
        <v>94.8</v>
      </c>
      <c r="I134" s="30">
        <v>518049.26</v>
      </c>
      <c r="J134" s="31">
        <f>167465.0014 -(64890.80823*C134)-(88660.97356*D134)-(93638.37558*E134)+(1.166639942*F134)+(33.97310595*G134)+(2561.266053*H134)</f>
        <v>513653.12164872652</v>
      </c>
      <c r="K134" s="32">
        <f>I134-J134</f>
        <v>4396.1383512734901</v>
      </c>
    </row>
    <row r="135" spans="1:11">
      <c r="A135" s="36" t="s">
        <v>60</v>
      </c>
      <c r="C135" s="8">
        <f>IF(B135="North",1,0)</f>
        <v>0</v>
      </c>
      <c r="D135" s="8">
        <f>IF(B135="South",1,0)</f>
        <v>0</v>
      </c>
      <c r="E135" s="8">
        <f>IF(B135="East",1,0)</f>
        <v>0</v>
      </c>
      <c r="F135" s="30">
        <v>64374.75</v>
      </c>
      <c r="G135" s="30">
        <v>6740</v>
      </c>
      <c r="H135" s="30">
        <v>87</v>
      </c>
      <c r="I135" s="30">
        <v>698492.67</v>
      </c>
      <c r="J135" s="31">
        <f>167465.0014 -(64890.80823*C135)-(88660.97356*D135)-(93638.37558*E135)+(1.166639942*F135)+(33.97310595*G135)+(2561.266053*H135)</f>
        <v>694376.03672026447</v>
      </c>
      <c r="K135" s="32">
        <f>I135-J135</f>
        <v>4116.6332797355717</v>
      </c>
    </row>
    <row r="136" spans="1:11">
      <c r="A136" s="36" t="s">
        <v>76</v>
      </c>
      <c r="C136" s="8">
        <f>IF(B136="North",1,0)</f>
        <v>0</v>
      </c>
      <c r="D136" s="8">
        <f>IF(B136="South",1,0)</f>
        <v>0</v>
      </c>
      <c r="E136" s="8">
        <f>IF(B136="East",1,0)</f>
        <v>0</v>
      </c>
      <c r="F136" s="30">
        <v>33987.33</v>
      </c>
      <c r="G136" s="30">
        <v>5014</v>
      </c>
      <c r="H136" s="30">
        <v>94.3</v>
      </c>
      <c r="I136" s="30">
        <v>622892.42000000004</v>
      </c>
      <c r="J136" s="31">
        <f>167465.0014 -(64890.80823*C136)-(88660.97356*D136)-(93638.37558*E136)+(1.166639942*F136)+(33.97310595*G136)+(2561.266053*H136)</f>
        <v>618984.52013113478</v>
      </c>
      <c r="K136" s="32">
        <f>I136-J136</f>
        <v>3907.8998688652646</v>
      </c>
    </row>
    <row r="137" spans="1:11">
      <c r="A137" s="36" t="s">
        <v>77</v>
      </c>
      <c r="C137" s="8">
        <f>IF(B137="North",1,0)</f>
        <v>0</v>
      </c>
      <c r="D137" s="8">
        <f>IF(B137="South",1,0)</f>
        <v>0</v>
      </c>
      <c r="E137" s="8">
        <f>IF(B137="East",1,0)</f>
        <v>0</v>
      </c>
      <c r="F137" s="30">
        <v>53367.73</v>
      </c>
      <c r="G137" s="30">
        <v>7291</v>
      </c>
      <c r="H137" s="30">
        <v>90.6</v>
      </c>
      <c r="I137" s="30">
        <v>712219.81</v>
      </c>
      <c r="J137" s="31">
        <f>167465.0014 -(64890.80823*C137)-(88660.97356*D137)-(93638.37558*E137)+(1.166639942*F137)+(33.97310595*G137)+(2561.266053*H137)</f>
        <v>709474.5467151216</v>
      </c>
      <c r="K137" s="32">
        <f>I137-J137</f>
        <v>2745.263284878456</v>
      </c>
    </row>
    <row r="138" spans="1:11">
      <c r="A138" s="36" t="s">
        <v>95</v>
      </c>
      <c r="C138" s="8">
        <f>IF(B138="North",1,0)</f>
        <v>0</v>
      </c>
      <c r="D138" s="8">
        <f>IF(B138="South",1,0)</f>
        <v>0</v>
      </c>
      <c r="E138" s="8">
        <f>IF(B138="East",1,0)</f>
        <v>0</v>
      </c>
      <c r="F138" s="30">
        <v>59825.51</v>
      </c>
      <c r="G138" s="30">
        <v>1231</v>
      </c>
      <c r="H138" s="30">
        <v>84.8</v>
      </c>
      <c r="I138" s="30">
        <v>498970.32</v>
      </c>
      <c r="J138" s="31">
        <f>167465.0014 -(64890.80823*C138)-(88660.97356*D138)-(93638.37558*E138)+(1.166639942*F138)+(33.97310595*G138)+(2561.266053*H138)</f>
        <v>496276.08563537046</v>
      </c>
      <c r="K138" s="32">
        <f>I138-J138</f>
        <v>2694.2343646295485</v>
      </c>
    </row>
    <row r="139" spans="1:11">
      <c r="A139" s="36" t="s">
        <v>78</v>
      </c>
      <c r="C139" s="8">
        <f>IF(B139="North",1,0)</f>
        <v>0</v>
      </c>
      <c r="D139" s="8">
        <f>IF(B139="South",1,0)</f>
        <v>0</v>
      </c>
      <c r="E139" s="8">
        <f>IF(B139="East",1,0)</f>
        <v>0</v>
      </c>
      <c r="F139" s="30">
        <v>57225.98</v>
      </c>
      <c r="G139" s="30">
        <v>2842</v>
      </c>
      <c r="H139" s="30">
        <v>79.5</v>
      </c>
      <c r="I139" s="30">
        <v>536545.49</v>
      </c>
      <c r="J139" s="31">
        <f>167465.0014 -(64890.80823*C139)-(88660.97356*D139)-(93638.37558*E139)+(1.166639942*F139)+(33.97310595*G139)+(2561.266053*H139)</f>
        <v>534399.33371149318</v>
      </c>
      <c r="K139" s="32">
        <f>I139-J139</f>
        <v>2146.1562885068124</v>
      </c>
    </row>
    <row r="140" spans="1:11">
      <c r="A140" s="36" t="s">
        <v>74</v>
      </c>
      <c r="C140" s="8">
        <f>IF(B140="North",1,0)</f>
        <v>0</v>
      </c>
      <c r="D140" s="8">
        <f>IF(B140="South",1,0)</f>
        <v>0</v>
      </c>
      <c r="E140" s="8">
        <f>IF(B140="East",1,0)</f>
        <v>0</v>
      </c>
      <c r="F140" s="30">
        <v>63457.19</v>
      </c>
      <c r="G140" s="30">
        <v>10125</v>
      </c>
      <c r="H140" s="30">
        <v>87</v>
      </c>
      <c r="I140" s="30">
        <v>810446.53</v>
      </c>
      <c r="J140" s="31">
        <f>167465.0014 -(64890.80823*C140)-(88660.97356*D140)-(93638.37558*E140)+(1.166639942*F140)+(33.97310595*G140)+(2561.266053*H140)</f>
        <v>808304.5382158329</v>
      </c>
      <c r="K140" s="32">
        <f>I140-J140</f>
        <v>2141.9917841671268</v>
      </c>
    </row>
    <row r="141" spans="1:11">
      <c r="A141" s="36" t="s">
        <v>46</v>
      </c>
      <c r="C141" s="8">
        <f>IF(B141="North",1,0)</f>
        <v>0</v>
      </c>
      <c r="D141" s="8">
        <f>IF(B141="South",1,0)</f>
        <v>0</v>
      </c>
      <c r="E141" s="8">
        <f>IF(B141="East",1,0)</f>
        <v>0</v>
      </c>
      <c r="F141" s="30">
        <v>61132.07</v>
      </c>
      <c r="G141" s="30">
        <v>6394</v>
      </c>
      <c r="H141" s="30">
        <v>91</v>
      </c>
      <c r="I141" s="30">
        <v>691113.62</v>
      </c>
      <c r="J141" s="31">
        <f>167465.0014 -(64890.80823*C141)-(88660.97356*D141)-(93638.37558*E141)+(1.166639942*F141)+(33.97310595*G141)+(2561.266053*H141)</f>
        <v>689083.3662664399</v>
      </c>
      <c r="K141" s="32">
        <f>I141-J141</f>
        <v>2030.2537335600937</v>
      </c>
    </row>
    <row r="142" spans="1:11">
      <c r="A142" s="36" t="s">
        <v>80</v>
      </c>
      <c r="C142" s="8">
        <f>IF(B142="North",1,0)</f>
        <v>0</v>
      </c>
      <c r="D142" s="8">
        <f>IF(B142="South",1,0)</f>
        <v>0</v>
      </c>
      <c r="E142" s="8">
        <f>IF(B142="East",1,0)</f>
        <v>0</v>
      </c>
      <c r="F142" s="30">
        <v>47944.14</v>
      </c>
      <c r="G142" s="30">
        <v>6169</v>
      </c>
      <c r="H142" s="30">
        <v>92.2</v>
      </c>
      <c r="I142" s="30">
        <v>670629.48</v>
      </c>
      <c r="J142" s="31">
        <f>167465.0014 -(64890.80823*C142)-(88660.97356*D142)-(93638.37558*E142)+(1.166639942*F142)+(33.97310595*G142)+(2561.266053*H142)</f>
        <v>669127.37080098991</v>
      </c>
      <c r="K142" s="32">
        <f>I142-J142</f>
        <v>1502.1091990100686</v>
      </c>
    </row>
    <row r="143" spans="1:11">
      <c r="A143" s="36" t="s">
        <v>25</v>
      </c>
      <c r="C143" s="8">
        <f>IF(B143="North",1,0)</f>
        <v>0</v>
      </c>
      <c r="D143" s="8">
        <f>IF(B143="South",1,0)</f>
        <v>0</v>
      </c>
      <c r="E143" s="8">
        <f>IF(B143="East",1,0)</f>
        <v>0</v>
      </c>
      <c r="F143" s="30">
        <v>62060.43</v>
      </c>
      <c r="G143" s="30">
        <v>2613</v>
      </c>
      <c r="H143" s="30">
        <v>92.1</v>
      </c>
      <c r="I143" s="30">
        <v>565810.99</v>
      </c>
      <c r="J143" s="31">
        <f>167465.0014 -(64890.80823*C143)-(88660.97356*D143)-(93638.37558*E143)+(1.166639942*F143)+(33.97310595*G143)+(2561.266053*H143)</f>
        <v>564531.50718434504</v>
      </c>
      <c r="K143" s="32">
        <f>I143-J143</f>
        <v>1279.4828156549484</v>
      </c>
    </row>
    <row r="144" spans="1:11">
      <c r="A144" s="36" t="s">
        <v>93</v>
      </c>
      <c r="C144" s="8">
        <f>IF(B144="North",1,0)</f>
        <v>0</v>
      </c>
      <c r="D144" s="8">
        <f>IF(B144="South",1,0)</f>
        <v>0</v>
      </c>
      <c r="E144" s="8">
        <f>IF(B144="East",1,0)</f>
        <v>0</v>
      </c>
      <c r="F144" s="30">
        <v>55371.97</v>
      </c>
      <c r="G144" s="30">
        <v>4162</v>
      </c>
      <c r="H144" s="30">
        <v>92</v>
      </c>
      <c r="I144" s="30">
        <v>609949</v>
      </c>
      <c r="J144" s="31">
        <f>167465.0014 -(64890.80823*C144)-(88660.97356*D144)-(93638.37558*E144)+(1.166639942*F144)+(33.97310595*G144)+(2561.266053*H144)</f>
        <v>609096.69710912567</v>
      </c>
      <c r="K144" s="32">
        <f>I144-J144</f>
        <v>852.30289087432902</v>
      </c>
    </row>
    <row r="145" spans="1:11">
      <c r="A145" s="36" t="s">
        <v>62</v>
      </c>
      <c r="C145" s="8">
        <f>IF(B145="North",1,0)</f>
        <v>0</v>
      </c>
      <c r="D145" s="8">
        <f>IF(B145="South",1,0)</f>
        <v>0</v>
      </c>
      <c r="E145" s="8">
        <f>IF(B145="East",1,0)</f>
        <v>0</v>
      </c>
      <c r="F145" s="30">
        <v>66870.62</v>
      </c>
      <c r="G145" s="30">
        <v>6055</v>
      </c>
      <c r="H145" s="30">
        <v>93.8</v>
      </c>
      <c r="I145" s="30">
        <v>692008.64</v>
      </c>
      <c r="J145" s="31">
        <f>167465.0014 -(64890.80823*C145)-(88660.97356*D145)-(93638.37558*E145)+(1.166639942*F145)+(33.97310595*G145)+(2561.266053*H145)</f>
        <v>691432.84993695398</v>
      </c>
      <c r="K145" s="32">
        <f>I145-J145</f>
        <v>575.79006304603536</v>
      </c>
    </row>
    <row r="146" spans="1:11">
      <c r="A146" s="36" t="s">
        <v>43</v>
      </c>
      <c r="C146" s="8">
        <f>IF(B146="North",1,0)</f>
        <v>0</v>
      </c>
      <c r="D146" s="8">
        <f>IF(B146="South",1,0)</f>
        <v>0</v>
      </c>
      <c r="E146" s="8">
        <f>IF(B146="East",1,0)</f>
        <v>0</v>
      </c>
      <c r="F146" s="30">
        <v>78231.91</v>
      </c>
      <c r="G146" s="30">
        <v>3788</v>
      </c>
      <c r="H146" s="30">
        <v>88.5</v>
      </c>
      <c r="I146" s="30">
        <v>614596.31999999995</v>
      </c>
      <c r="J146" s="31">
        <f>167465.0014 -(64890.80823*C146)-(88660.97356*D146)-(93638.37558*E146)+(1.166639942*F146)+(33.97310595*G146)+(2561.266053*H146)</f>
        <v>614095.64337404922</v>
      </c>
      <c r="K146" s="32">
        <f>I146-J146</f>
        <v>500.67662595072761</v>
      </c>
    </row>
    <row r="147" spans="1:11">
      <c r="A147" s="36" t="s">
        <v>67</v>
      </c>
      <c r="C147" s="8">
        <f>IF(B147="North",1,0)</f>
        <v>0</v>
      </c>
      <c r="D147" s="8">
        <f>IF(B147="South",1,0)</f>
        <v>0</v>
      </c>
      <c r="E147" s="8">
        <f>IF(B147="East",1,0)</f>
        <v>0</v>
      </c>
      <c r="F147" s="30">
        <v>68491.11</v>
      </c>
      <c r="G147" s="30">
        <v>11154</v>
      </c>
      <c r="H147" s="30">
        <v>89.4</v>
      </c>
      <c r="I147" s="30">
        <v>855341.28</v>
      </c>
      <c r="J147" s="31">
        <f>167465.0014 -(64890.80823*C147)-(88660.97356*D147)-(93638.37558*E147)+(1.166639942*F147)+(33.97310595*G147)+(2561.266053*H147)</f>
        <v>855282.6749024156</v>
      </c>
      <c r="K147" s="32">
        <f>I147-J147</f>
        <v>58.605097584426403</v>
      </c>
    </row>
    <row r="148" spans="1:11" ht="15">
      <c r="A148" s="36" t="s">
        <v>14</v>
      </c>
      <c r="B148" s="33" t="s">
        <v>20</v>
      </c>
      <c r="C148" s="8">
        <f>IF(B148="North",1,0)</f>
        <v>1</v>
      </c>
      <c r="D148" s="8">
        <f>IF(B148="South",1,0)</f>
        <v>0</v>
      </c>
      <c r="E148" s="8">
        <f>IF(B148="East",1,0)</f>
        <v>0</v>
      </c>
      <c r="F148" s="30">
        <v>70389.11</v>
      </c>
      <c r="G148" s="30">
        <v>8302</v>
      </c>
      <c r="H148" s="30">
        <v>75</v>
      </c>
      <c r="I148" s="30">
        <v>658832.62</v>
      </c>
      <c r="J148" s="31">
        <f>167465.0014 -(64890.80823*C148)-(88660.97356*D148)-(93638.37558*E148)+(1.166639942*F148)+(33.97310595*G148)+(2561.266053*H148)</f>
        <v>658832.61994973163</v>
      </c>
      <c r="K148" s="32">
        <f>I148-J148</f>
        <v>5.0268368795514107E-5</v>
      </c>
    </row>
    <row r="149" spans="1:11" ht="15">
      <c r="A149" s="36" t="s">
        <v>14</v>
      </c>
      <c r="B149" s="33" t="s">
        <v>15</v>
      </c>
      <c r="C149" s="8">
        <f>IF(B149="North",1,0)</f>
        <v>0</v>
      </c>
      <c r="D149" s="8">
        <f>IF(B149="South",1,0)</f>
        <v>0</v>
      </c>
      <c r="E149" s="8">
        <f>IF(B149="East",1,0)</f>
        <v>1</v>
      </c>
      <c r="F149" s="30">
        <v>59921.75</v>
      </c>
      <c r="G149" s="30">
        <v>9113</v>
      </c>
      <c r="H149" s="30">
        <v>88</v>
      </c>
      <c r="I149" s="30">
        <v>678722.06</v>
      </c>
      <c r="J149" s="31">
        <f>167465.0014 -(64890.80823*C149)-(88660.97356*D149)-(93638.37558*E149)+(1.166639942*F149)+(33.97310595*G149)+(2561.266053*H149)</f>
        <v>678722.05995088839</v>
      </c>
      <c r="K149" s="32">
        <f>I149-J149</f>
        <v>4.9111666157841682E-5</v>
      </c>
    </row>
    <row r="150" spans="1:11" ht="15">
      <c r="A150" s="36" t="s">
        <v>14</v>
      </c>
      <c r="B150" s="33" t="s">
        <v>24</v>
      </c>
      <c r="C150" s="8">
        <f>IF(B150="North",1,0)</f>
        <v>0</v>
      </c>
      <c r="D150" s="8">
        <f>IF(B150="South",1,0)</f>
        <v>1</v>
      </c>
      <c r="E150" s="8">
        <f>IF(B150="East",1,0)</f>
        <v>0</v>
      </c>
      <c r="F150" s="30">
        <v>43827.89</v>
      </c>
      <c r="G150" s="30">
        <v>8487</v>
      </c>
      <c r="H150" s="30">
        <v>84.4</v>
      </c>
      <c r="I150" s="30">
        <v>634436</v>
      </c>
      <c r="J150" s="31">
        <f>167465.0014 -(64890.80823*C150)-(88660.97356*D150)-(93638.37558*E150)+(1.166639942*F150)+(33.97310595*G150)+(2561.266053*H150)</f>
        <v>634435.9999584324</v>
      </c>
      <c r="K150" s="32">
        <f>I150-J150</f>
        <v>4.1567604057490826E-5</v>
      </c>
    </row>
    <row r="151" spans="1:11">
      <c r="A151" s="36" t="s">
        <v>83</v>
      </c>
      <c r="C151" s="8">
        <f>IF(B151="North",1,0)</f>
        <v>0</v>
      </c>
      <c r="D151" s="8">
        <f>IF(B151="South",1,0)</f>
        <v>0</v>
      </c>
      <c r="E151" s="8">
        <f>IF(B151="East",1,0)</f>
        <v>0</v>
      </c>
      <c r="F151" s="30">
        <v>48060.78</v>
      </c>
      <c r="G151" s="30">
        <v>8733</v>
      </c>
      <c r="H151" s="30">
        <v>89.9</v>
      </c>
      <c r="I151" s="30">
        <v>750471.34</v>
      </c>
      <c r="J151" s="31">
        <f>167465.0014 -(64890.80823*C151)-(88660.97356*D151)-(93638.37558*E151)+(1.166639942*F151)+(33.97310595*G151)+(2561.266053*H151)</f>
        <v>750479.57941772474</v>
      </c>
      <c r="K151" s="32">
        <f>I151-J151</f>
        <v>-8.2394177247770131</v>
      </c>
    </row>
    <row r="152" spans="1:11">
      <c r="A152" s="36" t="s">
        <v>26</v>
      </c>
      <c r="C152" s="8">
        <f>IF(B152="North",1,0)</f>
        <v>0</v>
      </c>
      <c r="D152" s="8">
        <f>IF(B152="South",1,0)</f>
        <v>0</v>
      </c>
      <c r="E152" s="8">
        <f>IF(B152="East",1,0)</f>
        <v>0</v>
      </c>
      <c r="F152" s="30">
        <v>55270.52</v>
      </c>
      <c r="G152" s="30">
        <v>9315</v>
      </c>
      <c r="H152" s="30">
        <v>91.9</v>
      </c>
      <c r="I152" s="30">
        <v>783672.82</v>
      </c>
      <c r="J152" s="31">
        <f>167465.0014 -(64890.80823*C152)-(88660.97356*D152)-(93638.37558*E152)+(1.166639942*F152)+(33.97310595*G152)+(2561.266053*H152)</f>
        <v>783785.62984205969</v>
      </c>
      <c r="K152" s="32">
        <f>I152-J152</f>
        <v>-112.809842059738</v>
      </c>
    </row>
    <row r="153" spans="1:11">
      <c r="A153" s="36" t="s">
        <v>68</v>
      </c>
      <c r="C153" s="8">
        <f>IF(B153="North",1,0)</f>
        <v>0</v>
      </c>
      <c r="D153" s="8">
        <f>IF(B153="South",1,0)</f>
        <v>0</v>
      </c>
      <c r="E153" s="8">
        <f>IF(B153="East",1,0)</f>
        <v>0</v>
      </c>
      <c r="F153" s="30">
        <v>72784.800000000003</v>
      </c>
      <c r="G153" s="30">
        <v>7932</v>
      </c>
      <c r="H153" s="30">
        <v>74.900000000000006</v>
      </c>
      <c r="I153" s="30">
        <v>712546.38</v>
      </c>
      <c r="J153" s="31">
        <f>167465.0014 -(64890.80823*C153)-(88660.97356*D153)-(93638.37558*E153)+(1.166639942*F153)+(33.97310595*G153)+(2561.266053*H153)</f>
        <v>713692.16001558164</v>
      </c>
      <c r="K153" s="32">
        <f>I153-J153</f>
        <v>-1145.7800155816367</v>
      </c>
    </row>
    <row r="154" spans="1:11">
      <c r="A154" s="36" t="s">
        <v>92</v>
      </c>
      <c r="C154" s="8">
        <f>IF(B154="North",1,0)</f>
        <v>0</v>
      </c>
      <c r="D154" s="8">
        <f>IF(B154="South",1,0)</f>
        <v>0</v>
      </c>
      <c r="E154" s="8">
        <f>IF(B154="East",1,0)</f>
        <v>0</v>
      </c>
      <c r="F154" s="30">
        <v>18599.21</v>
      </c>
      <c r="G154" s="30">
        <v>3027</v>
      </c>
      <c r="H154" s="30">
        <v>80.900000000000006</v>
      </c>
      <c r="I154" s="30">
        <v>497439.82</v>
      </c>
      <c r="J154" s="31">
        <f>167465.0014 -(64890.80823*C154)-(88660.97356*D154)-(93638.37558*E154)+(1.166639942*F154)+(33.97310595*G154)+(2561.266053*H154)</f>
        <v>499206.59807399585</v>
      </c>
      <c r="K154" s="32">
        <f>I154-J154</f>
        <v>-1766.7780739958398</v>
      </c>
    </row>
    <row r="155" spans="1:11">
      <c r="A155" s="36" t="s">
        <v>101</v>
      </c>
      <c r="C155" s="8">
        <f>IF(B155="North",1,0)</f>
        <v>0</v>
      </c>
      <c r="D155" s="8">
        <f>IF(B155="South",1,0)</f>
        <v>0</v>
      </c>
      <c r="E155" s="8">
        <f>IF(B155="East",1,0)</f>
        <v>0</v>
      </c>
      <c r="F155" s="30">
        <v>24088.06</v>
      </c>
      <c r="G155" s="30">
        <v>3466</v>
      </c>
      <c r="H155" s="30">
        <v>88</v>
      </c>
      <c r="I155" s="30">
        <v>536845.42000000004</v>
      </c>
      <c r="J155" s="31">
        <f>167465.0014 -(64890.80823*C155)-(88660.97356*D155)-(93638.37558*E155)+(1.166639942*F155)+(33.97310595*G155)+(2561.266053*H155)</f>
        <v>538709.29220799252</v>
      </c>
      <c r="K155" s="32">
        <f>I155-J155</f>
        <v>-1863.8722079924773</v>
      </c>
    </row>
    <row r="156" spans="1:11">
      <c r="A156" s="36" t="s">
        <v>65</v>
      </c>
      <c r="C156" s="8">
        <f>IF(B156="North",1,0)</f>
        <v>0</v>
      </c>
      <c r="D156" s="8">
        <f>IF(B156="South",1,0)</f>
        <v>0</v>
      </c>
      <c r="E156" s="8">
        <f>IF(B156="East",1,0)</f>
        <v>0</v>
      </c>
      <c r="F156" s="30">
        <v>65237.79</v>
      </c>
      <c r="G156" s="30">
        <v>8741</v>
      </c>
      <c r="H156" s="30">
        <v>94.4</v>
      </c>
      <c r="I156" s="30">
        <v>780344.18</v>
      </c>
      <c r="J156" s="31">
        <f>167465.0014 -(64890.80823*C156)-(88660.97356*D156)-(93638.37558*E156)+(1.166639942*F156)+(33.97310595*G156)+(2561.266053*H156)</f>
        <v>782316.44745395822</v>
      </c>
      <c r="K156" s="32">
        <f>I156-J156</f>
        <v>-1972.267453958164</v>
      </c>
    </row>
    <row r="157" spans="1:11">
      <c r="A157" s="36" t="s">
        <v>51</v>
      </c>
      <c r="C157" s="8">
        <f>IF(B157="North",1,0)</f>
        <v>0</v>
      </c>
      <c r="D157" s="8">
        <f>IF(B157="South",1,0)</f>
        <v>0</v>
      </c>
      <c r="E157" s="8">
        <f>IF(B157="East",1,0)</f>
        <v>0</v>
      </c>
      <c r="F157" s="30">
        <v>43685.14</v>
      </c>
      <c r="G157" s="30">
        <v>7821</v>
      </c>
      <c r="H157" s="30">
        <v>91</v>
      </c>
      <c r="I157" s="30">
        <v>714942.43</v>
      </c>
      <c r="J157" s="31">
        <f>167465.0014 -(64890.80823*C157)-(88660.97356*D157)-(93638.37558*E157)+(1.166639942*F157)+(33.97310595*G157)+(2561.266053*H157)</f>
        <v>717208.7030538118</v>
      </c>
      <c r="K157" s="32">
        <f>I157-J157</f>
        <v>-2266.2730538117466</v>
      </c>
    </row>
    <row r="158" spans="1:11">
      <c r="A158" s="36" t="s">
        <v>48</v>
      </c>
      <c r="C158" s="8">
        <f>IF(B158="North",1,0)</f>
        <v>0</v>
      </c>
      <c r="D158" s="8">
        <f>IF(B158="South",1,0)</f>
        <v>0</v>
      </c>
      <c r="E158" s="8">
        <f>IF(B158="East",1,0)</f>
        <v>0</v>
      </c>
      <c r="F158" s="30">
        <v>31042.03</v>
      </c>
      <c r="G158" s="30">
        <v>7107</v>
      </c>
      <c r="H158" s="30">
        <v>87</v>
      </c>
      <c r="I158" s="30">
        <v>665594.93999999994</v>
      </c>
      <c r="J158" s="31">
        <f>167465.0014 -(64890.80823*C158)-(88660.97356*D158)-(93638.37558*E158)+(1.166639942*F158)+(33.97310595*G158)+(2561.266053*H158)</f>
        <v>667956.88407641219</v>
      </c>
      <c r="K158" s="32">
        <f>I158-J158</f>
        <v>-2361.944076412241</v>
      </c>
    </row>
    <row r="159" spans="1:11">
      <c r="A159" s="36" t="s">
        <v>53</v>
      </c>
      <c r="C159" s="8">
        <f>IF(B159="North",1,0)</f>
        <v>0</v>
      </c>
      <c r="D159" s="8">
        <f>IF(B159="South",1,0)</f>
        <v>0</v>
      </c>
      <c r="E159" s="8">
        <f>IF(B159="East",1,0)</f>
        <v>0</v>
      </c>
      <c r="F159" s="30">
        <v>37828.5</v>
      </c>
      <c r="G159" s="30">
        <v>8221</v>
      </c>
      <c r="H159" s="30">
        <v>81.5</v>
      </c>
      <c r="I159" s="30">
        <v>697155.3</v>
      </c>
      <c r="J159" s="31">
        <f>167465.0014 -(64890.80823*C159)-(88660.97356*D159)-(93638.37558*E159)+(1.166639942*F159)+(33.97310595*G159)+(2561.266053*H159)</f>
        <v>699633.32778039691</v>
      </c>
      <c r="K159" s="32">
        <f>I159-J159</f>
        <v>-2478.0277803968638</v>
      </c>
    </row>
    <row r="160" spans="1:11">
      <c r="A160" s="36" t="s">
        <v>97</v>
      </c>
      <c r="C160" s="8">
        <f>IF(B160="North",1,0)</f>
        <v>0</v>
      </c>
      <c r="D160" s="8">
        <f>IF(B160="South",1,0)</f>
        <v>0</v>
      </c>
      <c r="E160" s="8">
        <f>IF(B160="East",1,0)</f>
        <v>0</v>
      </c>
      <c r="F160" s="30">
        <v>63986.98</v>
      </c>
      <c r="G160" s="30">
        <v>7989</v>
      </c>
      <c r="H160" s="30">
        <v>83.3</v>
      </c>
      <c r="I160" s="30">
        <v>724346.73</v>
      </c>
      <c r="J160" s="31">
        <f>167465.0014 -(64890.80823*C160)-(88660.97356*D160)-(93638.37558*E160)+(1.166639942*F160)+(33.97310595*G160)+(2561.266053*H160)</f>
        <v>726879.37368540512</v>
      </c>
      <c r="K160" s="32">
        <f>I160-J160</f>
        <v>-2532.6436854051426</v>
      </c>
    </row>
    <row r="161" spans="1:11">
      <c r="A161" s="36" t="s">
        <v>96</v>
      </c>
      <c r="C161" s="8">
        <f>IF(B161="North",1,0)</f>
        <v>0</v>
      </c>
      <c r="D161" s="8">
        <f>IF(B161="South",1,0)</f>
        <v>0</v>
      </c>
      <c r="E161" s="8">
        <f>IF(B161="East",1,0)</f>
        <v>0</v>
      </c>
      <c r="F161" s="30">
        <v>55599.56</v>
      </c>
      <c r="G161" s="30">
        <v>5896</v>
      </c>
      <c r="H161" s="30">
        <v>93.1</v>
      </c>
      <c r="I161" s="30">
        <v>668459.37</v>
      </c>
      <c r="J161" s="31">
        <f>167465.0014 -(64890.80823*C161)-(88660.97356*D161)-(93638.37558*E161)+(1.166639942*F161)+(33.97310595*G161)+(2561.266053*H161)</f>
        <v>671088.97106912546</v>
      </c>
      <c r="K161" s="32">
        <f>I161-J161</f>
        <v>-2629.6010691254633</v>
      </c>
    </row>
    <row r="162" spans="1:11">
      <c r="A162" s="36" t="s">
        <v>97</v>
      </c>
      <c r="C162" s="8">
        <f>IF(B162="North",1,0)</f>
        <v>0</v>
      </c>
      <c r="D162" s="8">
        <f>IF(B162="South",1,0)</f>
        <v>0</v>
      </c>
      <c r="E162" s="8">
        <f>IF(B162="East",1,0)</f>
        <v>0</v>
      </c>
      <c r="F162" s="30">
        <v>52843.75</v>
      </c>
      <c r="G162" s="30">
        <v>8268</v>
      </c>
      <c r="H162" s="30">
        <v>87.3</v>
      </c>
      <c r="I162" s="30">
        <v>730890.01</v>
      </c>
      <c r="J162" s="31">
        <f>167465.0014 -(64890.80823*C162)-(88660.97356*D162)-(93638.37558*E162)+(1.166639942*F162)+(33.97310595*G162)+(2561.266053*H162)</f>
        <v>733602.79725656239</v>
      </c>
      <c r="K162" s="32">
        <f>I162-J162</f>
        <v>-2712.7872565623838</v>
      </c>
    </row>
    <row r="163" spans="1:11">
      <c r="A163" s="36" t="s">
        <v>48</v>
      </c>
      <c r="C163" s="8">
        <f>IF(B163="North",1,0)</f>
        <v>0</v>
      </c>
      <c r="D163" s="8">
        <f>IF(B163="South",1,0)</f>
        <v>0</v>
      </c>
      <c r="E163" s="8">
        <f>IF(B163="East",1,0)</f>
        <v>0</v>
      </c>
      <c r="F163" s="30">
        <v>74679.350000000006</v>
      </c>
      <c r="G163" s="30">
        <v>8739</v>
      </c>
      <c r="H163" s="30">
        <v>91.8</v>
      </c>
      <c r="I163" s="30">
        <v>783797.89</v>
      </c>
      <c r="J163" s="31">
        <f>167465.0014 -(64890.80823*C163)-(88660.97356*D163)-(93638.37558*E163)+(1.166639942*F163)+(33.97310595*G163)+(2561.266053*H163)</f>
        <v>786604.11051504756</v>
      </c>
      <c r="K163" s="32">
        <f>I163-J163</f>
        <v>-2806.2205150475493</v>
      </c>
    </row>
    <row r="164" spans="1:11">
      <c r="A164" s="36" t="s">
        <v>55</v>
      </c>
      <c r="C164" s="8">
        <f>IF(B164="North",1,0)</f>
        <v>0</v>
      </c>
      <c r="D164" s="8">
        <f>IF(B164="South",1,0)</f>
        <v>0</v>
      </c>
      <c r="E164" s="8">
        <f>IF(B164="East",1,0)</f>
        <v>0</v>
      </c>
      <c r="F164" s="30">
        <v>52285.45</v>
      </c>
      <c r="G164" s="30">
        <v>3618</v>
      </c>
      <c r="H164" s="30">
        <v>95.6</v>
      </c>
      <c r="I164" s="30">
        <v>593247.25</v>
      </c>
      <c r="J164" s="31">
        <f>167465.0014 -(64890.80823*C164)-(88660.97356*D164)-(93638.37558*E164)+(1.166639942*F164)+(33.97310595*G164)+(2561.266053*H164)</f>
        <v>596235.02774934389</v>
      </c>
      <c r="K164" s="32">
        <f>I164-J164</f>
        <v>-2987.7777493438916</v>
      </c>
    </row>
    <row r="165" spans="1:11">
      <c r="A165" s="36" t="s">
        <v>43</v>
      </c>
      <c r="C165" s="8">
        <f>IF(B165="North",1,0)</f>
        <v>0</v>
      </c>
      <c r="D165" s="8">
        <f>IF(B165="South",1,0)</f>
        <v>0</v>
      </c>
      <c r="E165" s="8">
        <f>IF(B165="East",1,0)</f>
        <v>0</v>
      </c>
      <c r="F165" s="30">
        <v>18996.32</v>
      </c>
      <c r="G165" s="30">
        <v>1260</v>
      </c>
      <c r="H165" s="30">
        <v>86.4</v>
      </c>
      <c r="I165" s="30">
        <v>450711.92</v>
      </c>
      <c r="J165" s="31">
        <f>167465.0014 -(64890.80823*C165)-(88660.97356*D165)-(93638.37558*E165)+(1.166639942*F165)+(33.97310595*G165)+(2561.266053*H165)</f>
        <v>453726.36753921345</v>
      </c>
      <c r="K165" s="32">
        <f>I165-J165</f>
        <v>-3014.4475392134627</v>
      </c>
    </row>
    <row r="166" spans="1:11">
      <c r="A166" s="36" t="s">
        <v>63</v>
      </c>
      <c r="C166" s="8">
        <f>IF(B166="North",1,0)</f>
        <v>0</v>
      </c>
      <c r="D166" s="8">
        <f>IF(B166="South",1,0)</f>
        <v>0</v>
      </c>
      <c r="E166" s="8">
        <f>IF(B166="East",1,0)</f>
        <v>0</v>
      </c>
      <c r="F166" s="30">
        <v>30301.86</v>
      </c>
      <c r="G166" s="30">
        <v>6939</v>
      </c>
      <c r="H166" s="30">
        <v>90.3</v>
      </c>
      <c r="I166" s="30">
        <v>665534.69999999995</v>
      </c>
      <c r="J166" s="31">
        <f>167465.0014 -(64890.80823*C166)-(88660.97356*D166)-(93638.37558*E166)+(1.166639942*F166)+(33.97310595*G166)+(2561.266053*H166)</f>
        <v>669838.0683658421</v>
      </c>
      <c r="K166" s="32">
        <f>I166-J166</f>
        <v>-4303.3683658421505</v>
      </c>
    </row>
    <row r="167" spans="1:11">
      <c r="A167" s="36" t="s">
        <v>61</v>
      </c>
      <c r="C167" s="8">
        <f>IF(B167="North",1,0)</f>
        <v>0</v>
      </c>
      <c r="D167" s="8">
        <f>IF(B167="South",1,0)</f>
        <v>0</v>
      </c>
      <c r="E167" s="8">
        <f>IF(B167="East",1,0)</f>
        <v>0</v>
      </c>
      <c r="F167" s="30">
        <v>86883.31</v>
      </c>
      <c r="G167" s="30">
        <v>6424</v>
      </c>
      <c r="H167" s="30">
        <v>85.2</v>
      </c>
      <c r="I167" s="30">
        <v>700078.32</v>
      </c>
      <c r="J167" s="31">
        <f>167465.0014 -(64890.80823*C167)-(88660.97356*D167)-(93638.37558*E167)+(1.166639942*F167)+(33.97310595*G167)+(2561.266053*H167)</f>
        <v>705289.64147756808</v>
      </c>
      <c r="K167" s="32">
        <f>I167-J167</f>
        <v>-5211.3214775681263</v>
      </c>
    </row>
    <row r="168" spans="1:11">
      <c r="A168" s="36" t="s">
        <v>53</v>
      </c>
      <c r="C168" s="8">
        <f>IF(B168="North",1,0)</f>
        <v>0</v>
      </c>
      <c r="D168" s="8">
        <f>IF(B168="South",1,0)</f>
        <v>0</v>
      </c>
      <c r="E168" s="8">
        <f>IF(B168="East",1,0)</f>
        <v>0</v>
      </c>
      <c r="F168" s="30">
        <v>44747</v>
      </c>
      <c r="G168" s="30">
        <v>11076</v>
      </c>
      <c r="H168" s="30">
        <v>98.3</v>
      </c>
      <c r="I168" s="30">
        <v>842439.67</v>
      </c>
      <c r="J168" s="31">
        <f>167465.0014 -(64890.80823*C168)-(88660.97356*D168)-(93638.37558*E168)+(1.166639942*F168)+(33.97310595*G168)+(2561.266053*H168)</f>
        <v>847727.21339677391</v>
      </c>
      <c r="K168" s="32">
        <f>I168-J168</f>
        <v>-5287.5433967738645</v>
      </c>
    </row>
    <row r="169" spans="1:11">
      <c r="A169" s="36" t="s">
        <v>70</v>
      </c>
      <c r="C169" s="8">
        <f>IF(B169="North",1,0)</f>
        <v>0</v>
      </c>
      <c r="D169" s="8">
        <f>IF(B169="South",1,0)</f>
        <v>0</v>
      </c>
      <c r="E169" s="8">
        <f>IF(B169="East",1,0)</f>
        <v>0</v>
      </c>
      <c r="F169" s="30">
        <v>40220.18</v>
      </c>
      <c r="G169" s="30">
        <v>3783</v>
      </c>
      <c r="H169" s="30">
        <v>86.6</v>
      </c>
      <c r="I169" s="30">
        <v>559422.02</v>
      </c>
      <c r="J169" s="31">
        <f>167465.0014 -(64890.80823*C169)-(88660.97356*D169)-(93638.37558*E169)+(1.166639942*F169)+(33.97310595*G169)+(2561.266053*H169)</f>
        <v>564713.3698610795</v>
      </c>
      <c r="K169" s="32">
        <f>I169-J169</f>
        <v>-5291.3498610794777</v>
      </c>
    </row>
    <row r="170" spans="1:11">
      <c r="A170" s="36" t="s">
        <v>93</v>
      </c>
      <c r="C170" s="8">
        <f>IF(B170="North",1,0)</f>
        <v>0</v>
      </c>
      <c r="D170" s="8">
        <f>IF(B170="South",1,0)</f>
        <v>0</v>
      </c>
      <c r="E170" s="8">
        <f>IF(B170="East",1,0)</f>
        <v>0</v>
      </c>
      <c r="F170" s="30">
        <v>74539.14</v>
      </c>
      <c r="G170" s="30">
        <v>4487</v>
      </c>
      <c r="H170" s="30">
        <v>90.4</v>
      </c>
      <c r="I170" s="30">
        <v>633009.53</v>
      </c>
      <c r="J170" s="31">
        <f>167465.0014 -(64890.80823*C170)-(88660.97356*D170)-(93638.37558*E170)+(1.166639942*F170)+(33.97310595*G170)+(2561.266053*H170)</f>
        <v>638401.11695517995</v>
      </c>
      <c r="K170" s="32">
        <f>I170-J170</f>
        <v>-5391.586955179926</v>
      </c>
    </row>
    <row r="171" spans="1:11">
      <c r="A171" s="36" t="s">
        <v>84</v>
      </c>
      <c r="C171" s="8">
        <f>IF(B171="North",1,0)</f>
        <v>0</v>
      </c>
      <c r="D171" s="8">
        <f>IF(B171="South",1,0)</f>
        <v>0</v>
      </c>
      <c r="E171" s="8">
        <f>IF(B171="East",1,0)</f>
        <v>0</v>
      </c>
      <c r="F171" s="30">
        <v>38361.93</v>
      </c>
      <c r="G171" s="30">
        <v>6322</v>
      </c>
      <c r="H171" s="30">
        <v>88.4</v>
      </c>
      <c r="I171" s="30">
        <v>647953.78</v>
      </c>
      <c r="J171" s="31">
        <f>167465.0014 -(64890.80823*C171)-(88660.97356*D171)-(93638.37558*E171)+(1.166639942*F171)+(33.97310595*G171)+(2561.266053*H171)</f>
        <v>653413.45609130803</v>
      </c>
      <c r="K171" s="32">
        <f>I171-J171</f>
        <v>-5459.676091308007</v>
      </c>
    </row>
    <row r="172" spans="1:11">
      <c r="A172" s="36" t="s">
        <v>67</v>
      </c>
      <c r="C172" s="8">
        <f>IF(B172="North",1,0)</f>
        <v>0</v>
      </c>
      <c r="D172" s="8">
        <f>IF(B172="South",1,0)</f>
        <v>0</v>
      </c>
      <c r="E172" s="8">
        <f>IF(B172="East",1,0)</f>
        <v>0</v>
      </c>
      <c r="F172" s="30">
        <v>45209.25</v>
      </c>
      <c r="G172" s="30">
        <v>9287</v>
      </c>
      <c r="H172" s="30">
        <v>86.4</v>
      </c>
      <c r="I172" s="30">
        <v>751393.88</v>
      </c>
      <c r="J172" s="31">
        <f>167465.0014 -(64890.80823*C172)-(88660.97356*D172)-(93638.37558*E172)+(1.166639942*F172)+(33.97310595*G172)+(2561.266053*H172)</f>
        <v>757009.54013471352</v>
      </c>
      <c r="K172" s="32">
        <f>I172-J172</f>
        <v>-5615.6601347135147</v>
      </c>
    </row>
    <row r="173" spans="1:11">
      <c r="A173" s="36" t="s">
        <v>91</v>
      </c>
      <c r="C173" s="8">
        <f>IF(B173="North",1,0)</f>
        <v>0</v>
      </c>
      <c r="D173" s="8">
        <f>IF(B173="South",1,0)</f>
        <v>0</v>
      </c>
      <c r="E173" s="8">
        <f>IF(B173="East",1,0)</f>
        <v>0</v>
      </c>
      <c r="F173" s="30">
        <v>48609.41</v>
      </c>
      <c r="G173" s="30">
        <v>9324</v>
      </c>
      <c r="H173" s="30">
        <v>86.5</v>
      </c>
      <c r="I173" s="30">
        <v>756619.77</v>
      </c>
      <c r="J173" s="31">
        <f>167465.0014 -(64890.80823*C173)-(88660.97356*D173)-(93638.37558*E173)+(1.166639942*F173)+(33.97310595*G173)+(2561.266053*H173)</f>
        <v>762489.43412535416</v>
      </c>
      <c r="K173" s="32">
        <f>I173-J173</f>
        <v>-5869.6641253541457</v>
      </c>
    </row>
    <row r="174" spans="1:11">
      <c r="A174" s="36" t="s">
        <v>51</v>
      </c>
      <c r="C174" s="8">
        <f>IF(B174="North",1,0)</f>
        <v>0</v>
      </c>
      <c r="D174" s="8">
        <f>IF(B174="South",1,0)</f>
        <v>0</v>
      </c>
      <c r="E174" s="8">
        <f>IF(B174="East",1,0)</f>
        <v>0</v>
      </c>
      <c r="F174" s="30">
        <v>54968.98</v>
      </c>
      <c r="G174" s="30">
        <v>7816</v>
      </c>
      <c r="H174" s="30">
        <v>95.7</v>
      </c>
      <c r="I174" s="30">
        <v>735480.19</v>
      </c>
      <c r="J174" s="31">
        <f>167465.0014 -(64890.80823*C174)-(88660.97356*D174)-(93638.37558*E174)+(1.166639942*F174)+(33.97310595*G174)+(2561.266053*H174)</f>
        <v>742240.96641629911</v>
      </c>
      <c r="K174" s="32">
        <f>I174-J174</f>
        <v>-6760.7764162991662</v>
      </c>
    </row>
    <row r="175" spans="1:11">
      <c r="A175" s="36" t="s">
        <v>19</v>
      </c>
      <c r="C175" s="8">
        <f>IF(B175="North",1,0)</f>
        <v>0</v>
      </c>
      <c r="D175" s="8">
        <f>IF(B175="South",1,0)</f>
        <v>0</v>
      </c>
      <c r="E175" s="8">
        <f>IF(B175="East",1,0)</f>
        <v>0</v>
      </c>
      <c r="F175" s="30">
        <v>68133.440000000002</v>
      </c>
      <c r="G175" s="30">
        <v>9459</v>
      </c>
      <c r="H175" s="30">
        <v>85</v>
      </c>
      <c r="I175" s="30">
        <v>779010.94</v>
      </c>
      <c r="J175" s="31">
        <f>167465.0014 -(64890.80823*C175)-(88660.97356*D175)-(93638.37558*E175)+(1.166639942*F175)+(33.97310595*G175)+(2561.266053*H175)</f>
        <v>786011.41757591045</v>
      </c>
      <c r="K175" s="32">
        <f>I175-J175</f>
        <v>-7000.4775759105105</v>
      </c>
    </row>
    <row r="176" spans="1:11">
      <c r="A176" s="36" t="s">
        <v>60</v>
      </c>
      <c r="C176" s="8">
        <f>IF(B176="North",1,0)</f>
        <v>0</v>
      </c>
      <c r="D176" s="8">
        <f>IF(B176="South",1,0)</f>
        <v>0</v>
      </c>
      <c r="E176" s="8">
        <f>IF(B176="East",1,0)</f>
        <v>0</v>
      </c>
      <c r="F176" s="30">
        <v>42698.14</v>
      </c>
      <c r="G176" s="30">
        <v>7693</v>
      </c>
      <c r="H176" s="30">
        <v>90.1</v>
      </c>
      <c r="I176" s="30">
        <v>702318.94</v>
      </c>
      <c r="J176" s="31">
        <f>167465.0014 -(64890.80823*C176)-(88660.97356*D176)-(93638.37558*E176)+(1.166639942*F176)+(33.97310595*G176)+(2561.266053*H176)</f>
        <v>709403.53242175782</v>
      </c>
      <c r="K176" s="32">
        <f>I176-J176</f>
        <v>-7084.5924217578722</v>
      </c>
    </row>
    <row r="177" spans="1:11">
      <c r="A177" s="36" t="s">
        <v>40</v>
      </c>
      <c r="C177" s="8">
        <f>IF(B177="North",1,0)</f>
        <v>0</v>
      </c>
      <c r="D177" s="8">
        <f>IF(B177="South",1,0)</f>
        <v>0</v>
      </c>
      <c r="E177" s="8">
        <f>IF(B177="East",1,0)</f>
        <v>0</v>
      </c>
      <c r="F177" s="30">
        <v>46201.46</v>
      </c>
      <c r="G177" s="30">
        <v>5918</v>
      </c>
      <c r="H177" s="30">
        <v>78.8</v>
      </c>
      <c r="I177" s="30">
        <v>616069.41</v>
      </c>
      <c r="J177" s="31">
        <f>167465.0014 -(64890.80823*C177)-(88660.97356*D177)-(93638.37558*E177)+(1.166639942*F177)+(33.97310595*G177)+(2561.266053*H177)</f>
        <v>624246.07600321528</v>
      </c>
      <c r="K177" s="32">
        <f>I177-J177</f>
        <v>-8176.6660032152431</v>
      </c>
    </row>
    <row r="178" spans="1:11">
      <c r="A178" s="36" t="s">
        <v>31</v>
      </c>
      <c r="C178" s="8">
        <f>IF(B178="North",1,0)</f>
        <v>0</v>
      </c>
      <c r="D178" s="8">
        <f>IF(B178="South",1,0)</f>
        <v>0</v>
      </c>
      <c r="E178" s="8">
        <f>IF(B178="East",1,0)</f>
        <v>0</v>
      </c>
      <c r="F178" s="30">
        <v>93381.26</v>
      </c>
      <c r="G178" s="30">
        <v>7562</v>
      </c>
      <c r="H178" s="30">
        <v>82.9</v>
      </c>
      <c r="I178" s="30">
        <v>736633.4</v>
      </c>
      <c r="J178" s="31">
        <f>167465.0014 -(64890.80823*C178)-(88660.97356*D178)-(93638.37558*E178)+(1.166639942*F178)+(33.97310595*G178)+(2561.266053*H178)</f>
        <v>745640.89213788696</v>
      </c>
      <c r="K178" s="32">
        <f>I178-J178</f>
        <v>-9007.4921378869331</v>
      </c>
    </row>
    <row r="179" spans="1:11">
      <c r="A179" s="36" t="s">
        <v>77</v>
      </c>
      <c r="C179" s="8">
        <f>IF(B179="North",1,0)</f>
        <v>0</v>
      </c>
      <c r="D179" s="8">
        <f>IF(B179="South",1,0)</f>
        <v>0</v>
      </c>
      <c r="E179" s="8">
        <f>IF(B179="East",1,0)</f>
        <v>0</v>
      </c>
      <c r="F179" s="30">
        <v>27194.639999999999</v>
      </c>
      <c r="G179" s="30">
        <v>7404</v>
      </c>
      <c r="H179" s="30">
        <v>90.2</v>
      </c>
      <c r="I179" s="30">
        <v>672670.54</v>
      </c>
      <c r="J179" s="31">
        <f>167465.0014 -(64890.80823*C179)-(88660.97356*D179)-(93638.37558*E179)+(1.166639942*F179)+(33.97310595*G179)+(2561.266053*H179)</f>
        <v>681754.42906671087</v>
      </c>
      <c r="K179" s="32">
        <f>I179-J179</f>
        <v>-9083.8890667108353</v>
      </c>
    </row>
    <row r="180" spans="1:11">
      <c r="A180" s="36" t="s">
        <v>29</v>
      </c>
      <c r="C180" s="8">
        <f>IF(B180="North",1,0)</f>
        <v>0</v>
      </c>
      <c r="D180" s="8">
        <f>IF(B180="South",1,0)</f>
        <v>0</v>
      </c>
      <c r="E180" s="8">
        <f>IF(B180="East",1,0)</f>
        <v>0</v>
      </c>
      <c r="F180" s="30">
        <v>63176.73</v>
      </c>
      <c r="G180" s="30">
        <v>2390</v>
      </c>
      <c r="H180" s="30">
        <v>87.5</v>
      </c>
      <c r="I180" s="30">
        <v>537383.79</v>
      </c>
      <c r="J180" s="31">
        <f>167465.0014 -(64890.80823*C180)-(88660.97356*D180)-(93638.37558*E180)+(1.166639942*F180)+(33.97310595*G180)+(2561.266053*H180)</f>
        <v>546476.00088094966</v>
      </c>
      <c r="K180" s="32">
        <f>I180-J180</f>
        <v>-9092.2108809496276</v>
      </c>
    </row>
    <row r="181" spans="1:11">
      <c r="A181" s="36" t="s">
        <v>75</v>
      </c>
      <c r="C181" s="8">
        <f>IF(B181="North",1,0)</f>
        <v>0</v>
      </c>
      <c r="D181" s="8">
        <f>IF(B181="South",1,0)</f>
        <v>0</v>
      </c>
      <c r="E181" s="8">
        <f>IF(B181="East",1,0)</f>
        <v>0</v>
      </c>
      <c r="F181" s="30">
        <v>35296.54</v>
      </c>
      <c r="G181" s="30">
        <v>9644</v>
      </c>
      <c r="H181" s="30">
        <v>88</v>
      </c>
      <c r="I181" s="30">
        <v>752321.72</v>
      </c>
      <c r="J181" s="31">
        <f>167465.0014 -(64890.80823*C181)-(88660.97356*D181)-(93638.37558*E181)+(1.166639942*F181)+(33.97310595*G181)+(2561.266053*H181)</f>
        <v>761671.40122420061</v>
      </c>
      <c r="K181" s="32">
        <f>I181-J181</f>
        <v>-9349.6812242006417</v>
      </c>
    </row>
    <row r="182" spans="1:11">
      <c r="A182" s="36" t="s">
        <v>58</v>
      </c>
      <c r="C182" s="8">
        <f>IF(B182="North",1,0)</f>
        <v>0</v>
      </c>
      <c r="D182" s="8">
        <f>IF(B182="South",1,0)</f>
        <v>0</v>
      </c>
      <c r="E182" s="8">
        <f>IF(B182="East",1,0)</f>
        <v>0</v>
      </c>
      <c r="F182" s="30">
        <v>60322.400000000001</v>
      </c>
      <c r="G182" s="30">
        <v>3350</v>
      </c>
      <c r="H182" s="30">
        <v>89.4</v>
      </c>
      <c r="I182" s="30">
        <v>570964.84</v>
      </c>
      <c r="J182" s="31">
        <f>167465.0014 -(64890.80823*C182)-(88660.97356*D182)-(93638.37558*E182)+(1.166639942*F182)+(33.97310595*G182)+(2561.266053*H182)</f>
        <v>580626.61270800082</v>
      </c>
      <c r="K182" s="32">
        <f>I182-J182</f>
        <v>-9661.7727080008481</v>
      </c>
    </row>
    <row r="183" spans="1:11">
      <c r="A183" s="36" t="s">
        <v>67</v>
      </c>
      <c r="C183" s="8">
        <f>IF(B183="North",1,0)</f>
        <v>0</v>
      </c>
      <c r="D183" s="8">
        <f>IF(B183="South",1,0)</f>
        <v>0</v>
      </c>
      <c r="E183" s="8">
        <f>IF(B183="East",1,0)</f>
        <v>0</v>
      </c>
      <c r="F183" s="30">
        <v>63010.23</v>
      </c>
      <c r="G183" s="30">
        <v>9812</v>
      </c>
      <c r="H183" s="30">
        <v>76.8</v>
      </c>
      <c r="I183" s="30">
        <v>761077.08</v>
      </c>
      <c r="J183" s="31">
        <f>167465.0014 -(64890.80823*C183)-(88660.97356*D183)-(93638.37558*E183)+(1.166639942*F183)+(33.97310595*G183)+(2561.266053*H183)</f>
        <v>771024.60092440667</v>
      </c>
      <c r="K183" s="32">
        <f>I183-J183</f>
        <v>-9947.5209244067082</v>
      </c>
    </row>
    <row r="184" spans="1:11">
      <c r="A184" s="36" t="s">
        <v>81</v>
      </c>
      <c r="C184" s="8">
        <f>IF(B184="North",1,0)</f>
        <v>0</v>
      </c>
      <c r="D184" s="8">
        <f>IF(B184="South",1,0)</f>
        <v>0</v>
      </c>
      <c r="E184" s="8">
        <f>IF(B184="East",1,0)</f>
        <v>0</v>
      </c>
      <c r="F184" s="30">
        <v>72961.95</v>
      </c>
      <c r="G184" s="30">
        <v>9996</v>
      </c>
      <c r="H184" s="30">
        <v>89.1</v>
      </c>
      <c r="I184" s="30">
        <v>810355.02</v>
      </c>
      <c r="J184" s="31">
        <f>167465.0014 -(64890.80823*C184)-(88660.97356*D184)-(93638.37558*E184)+(1.166639942*F184)+(33.97310595*G184)+(2561.266053*H184)</f>
        <v>820389.2989147068</v>
      </c>
      <c r="K184" s="32">
        <f>I184-J184</f>
        <v>-10034.278914706782</v>
      </c>
    </row>
    <row r="185" spans="1:11">
      <c r="A185" s="36" t="s">
        <v>89</v>
      </c>
      <c r="C185" s="8">
        <f>IF(B185="North",1,0)</f>
        <v>0</v>
      </c>
      <c r="D185" s="8">
        <f>IF(B185="South",1,0)</f>
        <v>0</v>
      </c>
      <c r="E185" s="8">
        <f>IF(B185="East",1,0)</f>
        <v>0</v>
      </c>
      <c r="F185" s="30">
        <v>61995.3</v>
      </c>
      <c r="G185" s="30">
        <v>10192</v>
      </c>
      <c r="H185" s="30">
        <v>87.6</v>
      </c>
      <c r="I185" s="30">
        <v>799756.46</v>
      </c>
      <c r="J185" s="31">
        <f>167465.0014 -(64890.80823*C185)-(88660.97356*D185)-(93638.37558*E185)+(1.166639942*F185)+(33.97310595*G185)+(2561.266053*H185)</f>
        <v>810411.99668147252</v>
      </c>
      <c r="K185" s="32">
        <f>I185-J185</f>
        <v>-10655.536681472557</v>
      </c>
    </row>
    <row r="186" spans="1:11">
      <c r="A186" s="36" t="s">
        <v>93</v>
      </c>
      <c r="C186" s="8">
        <f>IF(B186="North",1,0)</f>
        <v>0</v>
      </c>
      <c r="D186" s="8">
        <f>IF(B186="South",1,0)</f>
        <v>0</v>
      </c>
      <c r="E186" s="8">
        <f>IF(B186="East",1,0)</f>
        <v>0</v>
      </c>
      <c r="F186" s="30">
        <v>60183.06</v>
      </c>
      <c r="G186" s="30">
        <v>5562</v>
      </c>
      <c r="H186" s="30">
        <v>86.3</v>
      </c>
      <c r="I186" s="30">
        <v>636775.66</v>
      </c>
      <c r="J186" s="31">
        <f>167465.0014 -(64890.80823*C186)-(88660.97356*D186)-(93638.37558*E186)+(1.166639942*F186)+(33.97310595*G186)+(2561.266053*H186)</f>
        <v>647672.6386955824</v>
      </c>
      <c r="K186" s="32">
        <f>I186-J186</f>
        <v>-10896.978695582366</v>
      </c>
    </row>
    <row r="187" spans="1:11">
      <c r="A187" s="36" t="s">
        <v>67</v>
      </c>
      <c r="C187" s="8">
        <f>IF(B187="North",1,0)</f>
        <v>0</v>
      </c>
      <c r="D187" s="8">
        <f>IF(B187="South",1,0)</f>
        <v>0</v>
      </c>
      <c r="E187" s="8">
        <f>IF(B187="East",1,0)</f>
        <v>0</v>
      </c>
      <c r="F187" s="30">
        <v>57948.88</v>
      </c>
      <c r="G187" s="30">
        <v>10741</v>
      </c>
      <c r="H187" s="30">
        <v>90.1</v>
      </c>
      <c r="I187" s="30">
        <v>819660.59</v>
      </c>
      <c r="J187" s="31">
        <f>167465.0014 -(64890.80823*C187)-(88660.97356*D187)-(93638.37558*E187)+(1.166639942*F187)+(33.97310595*G187)+(2561.266053*H187)</f>
        <v>830745.68178641482</v>
      </c>
      <c r="K187" s="32">
        <f>I187-J187</f>
        <v>-11085.091786414851</v>
      </c>
    </row>
    <row r="188" spans="1:11">
      <c r="A188" s="36" t="s">
        <v>81</v>
      </c>
      <c r="C188" s="8">
        <f>IF(B188="North",1,0)</f>
        <v>0</v>
      </c>
      <c r="D188" s="8">
        <f>IF(B188="South",1,0)</f>
        <v>0</v>
      </c>
      <c r="E188" s="8">
        <f>IF(B188="East",1,0)</f>
        <v>0</v>
      </c>
      <c r="F188" s="30">
        <v>59060.05</v>
      </c>
      <c r="G188" s="30">
        <v>9702</v>
      </c>
      <c r="H188" s="30">
        <v>80.900000000000006</v>
      </c>
      <c r="I188" s="30">
        <v>761919.25</v>
      </c>
      <c r="J188" s="31">
        <f>167465.0014 -(64890.80823*C188)-(88660.97356*D188)-(93638.37558*E188)+(1.166639942*F188)+(33.97310595*G188)+(2561.266053*H188)</f>
        <v>773180.31232111715</v>
      </c>
      <c r="K188" s="32">
        <f>I188-J188</f>
        <v>-11261.062321117148</v>
      </c>
    </row>
    <row r="189" spans="1:11">
      <c r="A189" s="36" t="s">
        <v>37</v>
      </c>
      <c r="C189" s="8">
        <f>IF(B189="North",1,0)</f>
        <v>0</v>
      </c>
      <c r="D189" s="8">
        <f>IF(B189="South",1,0)</f>
        <v>0</v>
      </c>
      <c r="E189" s="8">
        <f>IF(B189="East",1,0)</f>
        <v>0</v>
      </c>
      <c r="F189" s="30">
        <v>50343.19</v>
      </c>
      <c r="G189" s="30">
        <v>3845</v>
      </c>
      <c r="H189" s="30">
        <v>88.7</v>
      </c>
      <c r="I189" s="30">
        <v>572011.19999999995</v>
      </c>
      <c r="J189" s="31">
        <f>167465.0014 -(64890.80823*C189)-(88660.97356*D189)-(93638.37558*E189)+(1.166639942*F189)+(33.97310595*G189)+(2561.266053*H189)</f>
        <v>584008.26894054492</v>
      </c>
      <c r="K189" s="32">
        <f>I189-J189</f>
        <v>-11997.068940544967</v>
      </c>
    </row>
    <row r="190" spans="1:11">
      <c r="A190" s="36" t="s">
        <v>77</v>
      </c>
      <c r="C190" s="8">
        <f>IF(B190="North",1,0)</f>
        <v>0</v>
      </c>
      <c r="D190" s="8">
        <f>IF(B190="South",1,0)</f>
        <v>0</v>
      </c>
      <c r="E190" s="8">
        <f>IF(B190="East",1,0)</f>
        <v>0</v>
      </c>
      <c r="F190" s="30">
        <v>66962.740000000005</v>
      </c>
      <c r="G190" s="30">
        <v>7880</v>
      </c>
      <c r="H190" s="30">
        <v>90.4</v>
      </c>
      <c r="I190" s="30">
        <v>732667.92</v>
      </c>
      <c r="J190" s="31">
        <f>167465.0014 -(64890.80823*C190)-(88660.97356*D190)-(93638.37558*E190)+(1.166639942*F190)+(33.97310595*G190)+(2561.266053*H190)</f>
        <v>744832.93458696106</v>
      </c>
      <c r="K190" s="32">
        <f>I190-J190</f>
        <v>-12165.014586961013</v>
      </c>
    </row>
    <row r="191" spans="1:11">
      <c r="A191" s="36" t="s">
        <v>30</v>
      </c>
      <c r="C191" s="8">
        <f>IF(B191="North",1,0)</f>
        <v>0</v>
      </c>
      <c r="D191" s="8">
        <f>IF(B191="South",1,0)</f>
        <v>0</v>
      </c>
      <c r="E191" s="8">
        <f>IF(B191="East",1,0)</f>
        <v>0</v>
      </c>
      <c r="F191" s="30">
        <v>74413.88</v>
      </c>
      <c r="G191" s="30">
        <v>9449</v>
      </c>
      <c r="H191" s="30">
        <v>92.1</v>
      </c>
      <c r="I191" s="30">
        <v>798952.17</v>
      </c>
      <c r="J191" s="31">
        <f>167465.0014 -(64890.80823*C191)-(88660.97356*D191)-(93638.37558*E191)+(1.166639942*F191)+(33.97310595*G191)+(2561.266053*H191)</f>
        <v>811183.68765004491</v>
      </c>
      <c r="K191" s="32">
        <f>I191-J191</f>
        <v>-12231.517650044872</v>
      </c>
    </row>
    <row r="192" spans="1:11">
      <c r="A192" s="36" t="s">
        <v>72</v>
      </c>
      <c r="C192" s="8">
        <f>IF(B192="North",1,0)</f>
        <v>0</v>
      </c>
      <c r="D192" s="8">
        <f>IF(B192="South",1,0)</f>
        <v>0</v>
      </c>
      <c r="E192" s="8">
        <f>IF(B192="East",1,0)</f>
        <v>0</v>
      </c>
      <c r="F192" s="30">
        <v>22312.93</v>
      </c>
      <c r="G192" s="30">
        <v>5955</v>
      </c>
      <c r="H192" s="30">
        <v>84.2</v>
      </c>
      <c r="I192" s="30">
        <v>598904.9</v>
      </c>
      <c r="J192" s="31">
        <f>167465.0014 -(64890.80823*C192)-(88660.97356*D192)-(93638.37558*E192)+(1.166639942*F192)+(33.97310595*G192)+(2561.266053*H192)</f>
        <v>611464.60435590008</v>
      </c>
      <c r="K192" s="32">
        <f>I192-J192</f>
        <v>-12559.704355900059</v>
      </c>
    </row>
    <row r="193" spans="1:11">
      <c r="A193" s="36" t="s">
        <v>58</v>
      </c>
      <c r="C193" s="8">
        <f>IF(B193="North",1,0)</f>
        <v>0</v>
      </c>
      <c r="D193" s="8">
        <f>IF(B193="South",1,0)</f>
        <v>0</v>
      </c>
      <c r="E193" s="8">
        <f>IF(B193="East",1,0)</f>
        <v>0</v>
      </c>
      <c r="F193" s="30">
        <v>53351.7</v>
      </c>
      <c r="G193" s="30">
        <v>4259</v>
      </c>
      <c r="H193" s="30">
        <v>93.7</v>
      </c>
      <c r="I193" s="30">
        <v>601568.87</v>
      </c>
      <c r="J193" s="31">
        <f>167465.0014 -(64890.80823*C193)-(88660.97356*D193)-(93638.37558*E193)+(1.166639942*F193)+(33.97310595*G193)+(2561.266053*H193)</f>
        <v>614389.31300075143</v>
      </c>
      <c r="K193" s="32">
        <f>I193-J193</f>
        <v>-12820.443000751431</v>
      </c>
    </row>
    <row r="194" spans="1:11">
      <c r="A194" s="36" t="s">
        <v>26</v>
      </c>
      <c r="C194" s="8">
        <f>IF(B194="North",1,0)</f>
        <v>0</v>
      </c>
      <c r="D194" s="8">
        <f>IF(B194="South",1,0)</f>
        <v>0</v>
      </c>
      <c r="E194" s="8">
        <f>IF(B194="East",1,0)</f>
        <v>0</v>
      </c>
      <c r="F194" s="30">
        <v>57696.69</v>
      </c>
      <c r="G194" s="30">
        <v>10218</v>
      </c>
      <c r="H194" s="30">
        <v>94.8</v>
      </c>
      <c r="I194" s="30">
        <v>811771.14</v>
      </c>
      <c r="J194" s="31">
        <f>167465.0014 -(64890.80823*C194)-(88660.97356*D194)-(93638.37558*E194)+(1.166639942*F194)+(33.97310595*G194)+(2561.266053*H194)</f>
        <v>824721.48289669189</v>
      </c>
      <c r="K194" s="32">
        <f>I194-J194</f>
        <v>-12950.342896691873</v>
      </c>
    </row>
    <row r="195" spans="1:11">
      <c r="A195" s="36" t="s">
        <v>90</v>
      </c>
      <c r="C195" s="8">
        <f>IF(B195="North",1,0)</f>
        <v>0</v>
      </c>
      <c r="D195" s="8">
        <f>IF(B195="South",1,0)</f>
        <v>0</v>
      </c>
      <c r="E195" s="8">
        <f>IF(B195="East",1,0)</f>
        <v>0</v>
      </c>
      <c r="F195" s="30">
        <v>47648.71</v>
      </c>
      <c r="G195" s="30">
        <v>5767</v>
      </c>
      <c r="H195" s="30">
        <v>89.8</v>
      </c>
      <c r="I195" s="30">
        <v>635837.74</v>
      </c>
      <c r="J195" s="31">
        <f>167465.0014 -(64890.80823*C195)-(88660.97356*D195)-(93638.37558*E195)+(1.166639942*F195)+(33.97310595*G195)+(2561.266053*H195)</f>
        <v>648978.4832438248</v>
      </c>
      <c r="K195" s="32">
        <f>I195-J195</f>
        <v>-13140.743243824807</v>
      </c>
    </row>
    <row r="196" spans="1:11">
      <c r="A196" s="36" t="s">
        <v>99</v>
      </c>
      <c r="C196" s="8">
        <f>IF(B196="North",1,0)</f>
        <v>0</v>
      </c>
      <c r="D196" s="8">
        <f>IF(B196="South",1,0)</f>
        <v>0</v>
      </c>
      <c r="E196" s="8">
        <f>IF(B196="East",1,0)</f>
        <v>0</v>
      </c>
      <c r="F196" s="30">
        <v>54322.94</v>
      </c>
      <c r="G196" s="30">
        <v>5434</v>
      </c>
      <c r="H196" s="30">
        <v>85.7</v>
      </c>
      <c r="I196" s="30">
        <v>621677.30000000005</v>
      </c>
      <c r="J196" s="31">
        <f>167465.0014 -(64890.80823*C196)-(88660.97356*D196)-(93638.37558*E196)+(1.166639942*F196)+(33.97310595*G196)+(2561.266053*H196)</f>
        <v>634950.67144526937</v>
      </c>
      <c r="K196" s="32">
        <f>I196-J196</f>
        <v>-13273.371445269324</v>
      </c>
    </row>
    <row r="197" spans="1:11">
      <c r="A197" s="36" t="s">
        <v>73</v>
      </c>
      <c r="C197" s="8">
        <f>IF(B197="North",1,0)</f>
        <v>0</v>
      </c>
      <c r="D197" s="8">
        <f>IF(B197="South",1,0)</f>
        <v>0</v>
      </c>
      <c r="E197" s="8">
        <f>IF(B197="East",1,0)</f>
        <v>0</v>
      </c>
      <c r="F197" s="30">
        <v>92090.14</v>
      </c>
      <c r="G197" s="30">
        <v>9476</v>
      </c>
      <c r="H197" s="30">
        <v>94.3</v>
      </c>
      <c r="I197" s="30">
        <v>825060.52</v>
      </c>
      <c r="J197" s="31">
        <f>167465.0014 -(64890.80823*C197)-(88660.97356*D197)-(93638.37558*E197)+(1.166639942*F197)+(33.97310595*G197)+(2561.266053*H197)</f>
        <v>838357.57776847179</v>
      </c>
      <c r="K197" s="32">
        <f>I197-J197</f>
        <v>-13297.057768471772</v>
      </c>
    </row>
    <row r="198" spans="1:11">
      <c r="A198" s="36" t="s">
        <v>25</v>
      </c>
      <c r="C198" s="8">
        <f>IF(B198="North",1,0)</f>
        <v>0</v>
      </c>
      <c r="D198" s="8">
        <f>IF(B198="South",1,0)</f>
        <v>0</v>
      </c>
      <c r="E198" s="8">
        <f>IF(B198="East",1,0)</f>
        <v>0</v>
      </c>
      <c r="F198" s="30">
        <v>33518.879999999997</v>
      </c>
      <c r="G198" s="30">
        <v>2121</v>
      </c>
      <c r="H198" s="30">
        <v>88.5</v>
      </c>
      <c r="I198" s="30">
        <v>491905.13</v>
      </c>
      <c r="J198" s="31">
        <f>167465.0014 -(64890.80823*C198)-(88660.97356*D198)-(93638.37558*E198)+(1.166639942*F198)+(33.97310595*G198)+(2561.266053*H198)</f>
        <v>505298.46902955498</v>
      </c>
      <c r="K198" s="32">
        <f>I198-J198</f>
        <v>-13393.339029554976</v>
      </c>
    </row>
    <row r="199" spans="1:11">
      <c r="A199" s="36" t="s">
        <v>54</v>
      </c>
      <c r="C199" s="8">
        <f>IF(B199="North",1,0)</f>
        <v>0</v>
      </c>
      <c r="D199" s="8">
        <f>IF(B199="South",1,0)</f>
        <v>0</v>
      </c>
      <c r="E199" s="8">
        <f>IF(B199="East",1,0)</f>
        <v>0</v>
      </c>
      <c r="F199" s="30">
        <v>68410.929999999993</v>
      </c>
      <c r="G199" s="30">
        <v>10596</v>
      </c>
      <c r="H199" s="30">
        <v>81.2</v>
      </c>
      <c r="I199" s="30">
        <v>801830.35</v>
      </c>
      <c r="J199" s="31">
        <f>167465.0014 -(64890.80823*C199)-(88660.97356*D199)-(93638.37558*E199)+(1.166639942*F199)+(33.97310595*G199)+(2561.266053*H199)</f>
        <v>815229.75895716599</v>
      </c>
      <c r="K199" s="32">
        <f>I199-J199</f>
        <v>-13399.408957166015</v>
      </c>
    </row>
    <row r="200" spans="1:11">
      <c r="A200" s="36" t="s">
        <v>45</v>
      </c>
      <c r="C200" s="8">
        <f>IF(B200="North",1,0)</f>
        <v>0</v>
      </c>
      <c r="D200" s="8">
        <f>IF(B200="South",1,0)</f>
        <v>0</v>
      </c>
      <c r="E200" s="8">
        <f>IF(B200="East",1,0)</f>
        <v>0</v>
      </c>
      <c r="F200" s="30">
        <v>38966.589999999997</v>
      </c>
      <c r="G200" s="30">
        <v>4509</v>
      </c>
      <c r="H200" s="30">
        <v>91.1</v>
      </c>
      <c r="I200" s="30">
        <v>585937.48</v>
      </c>
      <c r="J200" s="31">
        <f>167465.0014 -(64890.80823*C200)-(88660.97356*D200)-(93638.37558*E200)+(1.166639942*F200)+(33.97310595*G200)+(2561.266053*H200)</f>
        <v>599441.05385438772</v>
      </c>
      <c r="K200" s="32">
        <f>I200-J200</f>
        <v>-13503.573854387738</v>
      </c>
    </row>
    <row r="201" spans="1:11">
      <c r="A201" s="36" t="s">
        <v>84</v>
      </c>
      <c r="C201" s="8">
        <f>IF(B201="North",1,0)</f>
        <v>0</v>
      </c>
      <c r="D201" s="8">
        <f>IF(B201="South",1,0)</f>
        <v>0</v>
      </c>
      <c r="E201" s="8">
        <f>IF(B201="East",1,0)</f>
        <v>0</v>
      </c>
      <c r="F201" s="30">
        <v>72932.55</v>
      </c>
      <c r="G201" s="30">
        <v>5765</v>
      </c>
      <c r="H201" s="30">
        <v>81.8</v>
      </c>
      <c r="I201" s="30">
        <v>642751.42000000004</v>
      </c>
      <c r="J201" s="31">
        <f>167465.0014 -(64890.80823*C201)-(88660.97356*D201)-(93638.37558*E201)+(1.166639942*F201)+(33.97310595*G201)+(2561.266053*H201)</f>
        <v>657917.5462390621</v>
      </c>
      <c r="K201" s="32">
        <f>I201-J201</f>
        <v>-15166.126239062054</v>
      </c>
    </row>
    <row r="202" spans="1:11">
      <c r="A202" s="36" t="s">
        <v>99</v>
      </c>
      <c r="C202" s="8">
        <f>IF(B202="North",1,0)</f>
        <v>0</v>
      </c>
      <c r="D202" s="8">
        <f>IF(B202="South",1,0)</f>
        <v>0</v>
      </c>
      <c r="E202" s="8">
        <f>IF(B202="East",1,0)</f>
        <v>0</v>
      </c>
      <c r="F202" s="30">
        <v>48465.599999999999</v>
      </c>
      <c r="G202" s="30">
        <v>5759</v>
      </c>
      <c r="H202" s="30">
        <v>87.5</v>
      </c>
      <c r="I202" s="30">
        <v>628538.30000000005</v>
      </c>
      <c r="J202" s="31">
        <f>167465.0014 -(64890.80823*C202)-(88660.97356*D202)-(93638.37558*E202)+(1.166639942*F202)+(33.97310595*G202)+(2561.266053*H202)</f>
        <v>643768.80297654518</v>
      </c>
      <c r="K202" s="32">
        <f>I202-J202</f>
        <v>-15230.502976545133</v>
      </c>
    </row>
    <row r="203" spans="1:11">
      <c r="A203" s="36" t="s">
        <v>41</v>
      </c>
      <c r="C203" s="8">
        <f>IF(B203="North",1,0)</f>
        <v>0</v>
      </c>
      <c r="D203" s="8">
        <f>IF(B203="South",1,0)</f>
        <v>0</v>
      </c>
      <c r="E203" s="8">
        <f>IF(B203="East",1,0)</f>
        <v>0</v>
      </c>
      <c r="F203" s="30">
        <v>56973.18</v>
      </c>
      <c r="G203" s="30">
        <v>6662</v>
      </c>
      <c r="H203" s="30">
        <v>77.7</v>
      </c>
      <c r="I203" s="30">
        <v>643657.47</v>
      </c>
      <c r="J203" s="31">
        <f>167465.0014 -(64890.80823*C203)-(88660.97356*D203)-(93638.37558*E203)+(1.166639942*F203)+(33.97310595*G203)+(2561.266053*H203)</f>
        <v>659271.39296775556</v>
      </c>
      <c r="K203" s="32">
        <f>I203-J203</f>
        <v>-15613.922967755585</v>
      </c>
    </row>
    <row r="204" spans="1:11">
      <c r="A204" s="36" t="s">
        <v>23</v>
      </c>
      <c r="C204" s="8">
        <f>IF(B204="North",1,0)</f>
        <v>0</v>
      </c>
      <c r="D204" s="8">
        <f>IF(B204="South",1,0)</f>
        <v>0</v>
      </c>
      <c r="E204" s="8">
        <f>IF(B204="East",1,0)</f>
        <v>0</v>
      </c>
      <c r="F204" s="30">
        <v>41441.93</v>
      </c>
      <c r="G204" s="30">
        <v>4865</v>
      </c>
      <c r="H204" s="30">
        <v>88.3</v>
      </c>
      <c r="I204" s="30">
        <v>591619.94999999995</v>
      </c>
      <c r="J204" s="31">
        <f>167465.0014 -(64890.80823*C204)-(88660.97356*D204)-(93638.37558*E204)+(1.166639942*F204)+(33.97310595*G204)+(2561.266053*H204)</f>
        <v>607251.76513821806</v>
      </c>
      <c r="K204" s="32">
        <f>I204-J204</f>
        <v>-15631.815138218109</v>
      </c>
    </row>
    <row r="205" spans="1:11">
      <c r="A205" s="36" t="s">
        <v>42</v>
      </c>
      <c r="C205" s="8">
        <f>IF(B205="North",1,0)</f>
        <v>0</v>
      </c>
      <c r="D205" s="8">
        <f>IF(B205="South",1,0)</f>
        <v>0</v>
      </c>
      <c r="E205" s="8">
        <f>IF(B205="East",1,0)</f>
        <v>0</v>
      </c>
      <c r="F205" s="30">
        <v>60881.01</v>
      </c>
      <c r="G205" s="30">
        <v>5410</v>
      </c>
      <c r="H205" s="30">
        <v>83.9</v>
      </c>
      <c r="I205" s="30">
        <v>621369.57999999996</v>
      </c>
      <c r="J205" s="31">
        <f>167465.0014 -(64890.80823*C205)-(88660.97356*D205)-(93638.37558*E205)+(1.166639942*F205)+(33.97310595*G205)+(2561.266053*H205)</f>
        <v>637175.94441150152</v>
      </c>
      <c r="K205" s="32">
        <f>I205-J205</f>
        <v>-15806.364411501563</v>
      </c>
    </row>
    <row r="206" spans="1:11">
      <c r="A206" s="36" t="s">
        <v>68</v>
      </c>
      <c r="C206" s="8">
        <f>IF(B206="North",1,0)</f>
        <v>0</v>
      </c>
      <c r="D206" s="8">
        <f>IF(B206="South",1,0)</f>
        <v>0</v>
      </c>
      <c r="E206" s="8">
        <f>IF(B206="East",1,0)</f>
        <v>0</v>
      </c>
      <c r="F206" s="30">
        <v>71941.62</v>
      </c>
      <c r="G206" s="30">
        <v>6084</v>
      </c>
      <c r="H206" s="30">
        <v>93.7</v>
      </c>
      <c r="I206" s="30">
        <v>681855.56</v>
      </c>
      <c r="J206" s="31">
        <f>167465.0014 -(64890.80823*C206)-(88660.97356*D206)-(93638.37558*E206)+(1.166639942*F206)+(33.97310595*G206)+(2561.266053*H206)</f>
        <v>698077.97455008607</v>
      </c>
      <c r="K206" s="32">
        <f>I206-J206</f>
        <v>-16222.414550086018</v>
      </c>
    </row>
    <row r="207" spans="1:11">
      <c r="A207" s="36" t="s">
        <v>36</v>
      </c>
      <c r="C207" s="8">
        <f>IF(B207="North",1,0)</f>
        <v>0</v>
      </c>
      <c r="D207" s="8">
        <f>IF(B207="South",1,0)</f>
        <v>0</v>
      </c>
      <c r="E207" s="8">
        <f>IF(B207="East",1,0)</f>
        <v>0</v>
      </c>
      <c r="F207" s="30">
        <v>59405.68</v>
      </c>
      <c r="G207" s="30">
        <v>2515</v>
      </c>
      <c r="H207" s="30">
        <v>76</v>
      </c>
      <c r="I207" s="30">
        <v>500298.48</v>
      </c>
      <c r="J207" s="31">
        <f>167465.0014 -(64890.80823*C207)-(88660.97356*D207)-(93638.37558*E207)+(1.166639942*F207)+(33.97310595*G207)+(2561.266053*H207)</f>
        <v>516868.62196192052</v>
      </c>
      <c r="K207" s="32">
        <f>I207-J207</f>
        <v>-16570.141961920541</v>
      </c>
    </row>
    <row r="208" spans="1:11">
      <c r="A208" s="36" t="s">
        <v>70</v>
      </c>
      <c r="C208" s="8">
        <f>IF(B208="North",1,0)</f>
        <v>0</v>
      </c>
      <c r="D208" s="8">
        <f>IF(B208="South",1,0)</f>
        <v>0</v>
      </c>
      <c r="E208" s="8">
        <f>IF(B208="East",1,0)</f>
        <v>0</v>
      </c>
      <c r="F208" s="30">
        <v>51133.43</v>
      </c>
      <c r="G208" s="30">
        <v>5150</v>
      </c>
      <c r="H208" s="30">
        <v>88.5</v>
      </c>
      <c r="I208" s="30">
        <v>611924.27</v>
      </c>
      <c r="J208" s="31">
        <f>167465.0014 -(64890.80823*C208)-(88660.97356*D208)-(93638.37558*E208)+(1.166639942*F208)+(33.97310595*G208)+(2561.266053*H208)</f>
        <v>628752.84454246098</v>
      </c>
      <c r="K208" s="32">
        <f>I208-J208</f>
        <v>-16828.574542460963</v>
      </c>
    </row>
    <row r="209" spans="1:11">
      <c r="A209" s="36" t="s">
        <v>49</v>
      </c>
      <c r="C209" s="8">
        <f>IF(B209="North",1,0)</f>
        <v>0</v>
      </c>
      <c r="D209" s="8">
        <f>IF(B209="South",1,0)</f>
        <v>0</v>
      </c>
      <c r="E209" s="8">
        <f>IF(B209="East",1,0)</f>
        <v>0</v>
      </c>
      <c r="F209" s="30">
        <v>51056.15</v>
      </c>
      <c r="G209" s="30">
        <v>5686</v>
      </c>
      <c r="H209" s="30">
        <v>89.9</v>
      </c>
      <c r="I209" s="30">
        <v>633494.21</v>
      </c>
      <c r="J209" s="31">
        <f>167465.0014 -(64890.80823*C209)-(88660.97356*D209)-(93638.37558*E209)+(1.166639942*F209)+(33.97310595*G209)+(2561.266053*H209)</f>
        <v>650458.04387114337</v>
      </c>
      <c r="K209" s="32">
        <f>I209-J209</f>
        <v>-16963.833871143404</v>
      </c>
    </row>
    <row r="210" spans="1:11">
      <c r="A210" s="36" t="s">
        <v>55</v>
      </c>
      <c r="C210" s="8">
        <f>IF(B210="North",1,0)</f>
        <v>0</v>
      </c>
      <c r="D210" s="8">
        <f>IF(B210="South",1,0)</f>
        <v>0</v>
      </c>
      <c r="E210" s="8">
        <f>IF(B210="East",1,0)</f>
        <v>0</v>
      </c>
      <c r="F210" s="30">
        <v>70366.759999999995</v>
      </c>
      <c r="G210" s="30">
        <v>1963</v>
      </c>
      <c r="H210" s="30">
        <v>89.8</v>
      </c>
      <c r="I210" s="30">
        <v>529075.94999999995</v>
      </c>
      <c r="J210" s="31">
        <f>167465.0014 -(64890.80823*C210)-(88660.97356*D210)-(93638.37558*E210)+(1.166639942*F210)+(33.97310595*G210)+(2561.266053*H210)</f>
        <v>546248.57274437789</v>
      </c>
      <c r="K210" s="32">
        <f>I210-J210</f>
        <v>-17172.622744377935</v>
      </c>
    </row>
    <row r="211" spans="1:11">
      <c r="A211" s="36" t="s">
        <v>93</v>
      </c>
      <c r="C211" s="8">
        <f>IF(B211="North",1,0)</f>
        <v>0</v>
      </c>
      <c r="D211" s="8">
        <f>IF(B211="South",1,0)</f>
        <v>0</v>
      </c>
      <c r="E211" s="8">
        <f>IF(B211="East",1,0)</f>
        <v>0</v>
      </c>
      <c r="F211" s="30">
        <v>40928.69</v>
      </c>
      <c r="G211" s="30">
        <v>4094</v>
      </c>
      <c r="H211" s="30">
        <v>82.4</v>
      </c>
      <c r="I211" s="30">
        <v>548103.69999999995</v>
      </c>
      <c r="J211" s="31">
        <f>167465.0014 -(64890.80823*C211)-(88660.97356*D211)-(93638.37558*E211)+(1.166639942*F211)+(33.97310595*G211)+(2561.266053*H211)</f>
        <v>565348.26445423602</v>
      </c>
      <c r="K211" s="32">
        <f>I211-J211</f>
        <v>-17244.564454236068</v>
      </c>
    </row>
    <row r="212" spans="1:11">
      <c r="A212" s="36" t="s">
        <v>74</v>
      </c>
      <c r="C212" s="8">
        <f>IF(B212="North",1,0)</f>
        <v>0</v>
      </c>
      <c r="D212" s="8">
        <f>IF(B212="South",1,0)</f>
        <v>0</v>
      </c>
      <c r="E212" s="8">
        <f>IF(B212="East",1,0)</f>
        <v>0</v>
      </c>
      <c r="F212" s="30">
        <v>49405.75</v>
      </c>
      <c r="G212" s="30">
        <v>9752</v>
      </c>
      <c r="H212" s="30">
        <v>87</v>
      </c>
      <c r="I212" s="30">
        <v>761963.23</v>
      </c>
      <c r="J212" s="31">
        <f>167465.0014 -(64890.80823*C212)-(88660.97356*D212)-(93638.37558*E212)+(1.166639942*F212)+(33.97310595*G212)+(2561.266053*H212)</f>
        <v>779239.59854986635</v>
      </c>
      <c r="K212" s="32">
        <f>I212-J212</f>
        <v>-17276.368549866369</v>
      </c>
    </row>
    <row r="213" spans="1:11">
      <c r="A213" s="36" t="s">
        <v>97</v>
      </c>
      <c r="C213" s="8">
        <f>IF(B213="North",1,0)</f>
        <v>0</v>
      </c>
      <c r="D213" s="8">
        <f>IF(B213="South",1,0)</f>
        <v>0</v>
      </c>
      <c r="E213" s="8">
        <f>IF(B213="East",1,0)</f>
        <v>0</v>
      </c>
      <c r="F213" s="30">
        <v>40647.67</v>
      </c>
      <c r="G213" s="30">
        <v>8252</v>
      </c>
      <c r="H213" s="30">
        <v>88.2</v>
      </c>
      <c r="I213" s="30">
        <v>703812.99</v>
      </c>
      <c r="J213" s="31">
        <f>167465.0014 -(64890.80823*C213)-(88660.97356*D213)-(93638.37558*E213)+(1.166639942*F213)+(33.97310595*G213)+(2561.266053*H213)</f>
        <v>721135.93294523517</v>
      </c>
      <c r="K213" s="32">
        <f>I213-J213</f>
        <v>-17322.942945235176</v>
      </c>
    </row>
    <row r="214" spans="1:11">
      <c r="A214" s="36" t="s">
        <v>45</v>
      </c>
      <c r="C214" s="8">
        <f>IF(B214="North",1,0)</f>
        <v>0</v>
      </c>
      <c r="D214" s="8">
        <f>IF(B214="South",1,0)</f>
        <v>0</v>
      </c>
      <c r="E214" s="8">
        <f>IF(B214="East",1,0)</f>
        <v>0</v>
      </c>
      <c r="F214" s="30">
        <v>9534.65</v>
      </c>
      <c r="G214" s="30">
        <v>6057</v>
      </c>
      <c r="H214" s="30">
        <v>94.1</v>
      </c>
      <c r="I214" s="30">
        <v>607898.12</v>
      </c>
      <c r="J214" s="31">
        <f>167465.0014 -(64890.80823*C214)-(88660.97356*D214)-(93638.37558*E214)+(1.166639942*F214)+(33.97310595*G214)+(2561.266053*H214)</f>
        <v>625378.74324944022</v>
      </c>
      <c r="K214" s="32">
        <f>I214-J214</f>
        <v>-17480.623249440221</v>
      </c>
    </row>
    <row r="215" spans="1:11">
      <c r="A215" s="36" t="s">
        <v>94</v>
      </c>
      <c r="C215" s="8">
        <f>IF(B215="North",1,0)</f>
        <v>0</v>
      </c>
      <c r="D215" s="8">
        <f>IF(B215="South",1,0)</f>
        <v>0</v>
      </c>
      <c r="E215" s="8">
        <f>IF(B215="East",1,0)</f>
        <v>0</v>
      </c>
      <c r="F215" s="30">
        <v>54080.91</v>
      </c>
      <c r="G215" s="30">
        <v>7083</v>
      </c>
      <c r="H215" s="30">
        <v>97</v>
      </c>
      <c r="I215" s="30">
        <v>702068.92</v>
      </c>
      <c r="J215" s="31">
        <f>167465.0014 -(64890.80823*C215)-(88660.97356*D215)-(93638.37558*E215)+(1.166639942*F215)+(33.97310595*G215)+(2561.266053*H215)</f>
        <v>719632.26769055729</v>
      </c>
      <c r="K215" s="32">
        <f>I215-J215</f>
        <v>-17563.347690557246</v>
      </c>
    </row>
    <row r="216" spans="1:11">
      <c r="A216" s="36" t="s">
        <v>101</v>
      </c>
      <c r="C216" s="8">
        <f>IF(B216="North",1,0)</f>
        <v>0</v>
      </c>
      <c r="D216" s="8">
        <f>IF(B216="South",1,0)</f>
        <v>0</v>
      </c>
      <c r="E216" s="8">
        <f>IF(B216="East",1,0)</f>
        <v>0</v>
      </c>
      <c r="F216" s="30">
        <v>81902.58</v>
      </c>
      <c r="G216" s="30">
        <v>7775</v>
      </c>
      <c r="H216" s="30">
        <v>85.2</v>
      </c>
      <c r="I216" s="30">
        <v>726776.22</v>
      </c>
      <c r="J216" s="31">
        <f>167465.0014 -(64890.80823*C216)-(88660.97356*D216)-(93638.37558*E216)+(1.166639942*F216)+(33.97310595*G216)+(2561.266053*H216)</f>
        <v>745376.58905770024</v>
      </c>
      <c r="K216" s="32">
        <f>I216-J216</f>
        <v>-18600.369057700271</v>
      </c>
    </row>
    <row r="217" spans="1:11">
      <c r="A217" s="36" t="s">
        <v>74</v>
      </c>
      <c r="C217" s="8">
        <f>IF(B217="North",1,0)</f>
        <v>0</v>
      </c>
      <c r="D217" s="8">
        <f>IF(B217="South",1,0)</f>
        <v>0</v>
      </c>
      <c r="E217" s="8">
        <f>IF(B217="East",1,0)</f>
        <v>0</v>
      </c>
      <c r="F217" s="30">
        <v>107970.19</v>
      </c>
      <c r="G217" s="30">
        <v>12870</v>
      </c>
      <c r="H217" s="30">
        <v>91.7</v>
      </c>
      <c r="I217" s="30">
        <v>946833.54</v>
      </c>
      <c r="J217" s="31">
        <f>167465.0014 -(64890.80823*C217)-(88660.97356*D217)-(93638.37558*E217)+(1.166639942*F217)+(33.97310595*G217)+(2561.266053*H217)</f>
        <v>965529.30823592888</v>
      </c>
      <c r="K217" s="32">
        <f>I217-J217</f>
        <v>-18695.768235928845</v>
      </c>
    </row>
    <row r="218" spans="1:11">
      <c r="A218" s="36" t="s">
        <v>38</v>
      </c>
      <c r="C218" s="8">
        <f>IF(B218="North",1,0)</f>
        <v>0</v>
      </c>
      <c r="D218" s="8">
        <f>IF(B218="South",1,0)</f>
        <v>0</v>
      </c>
      <c r="E218" s="8">
        <f>IF(B218="East",1,0)</f>
        <v>0</v>
      </c>
      <c r="F218" s="30">
        <v>51148.69</v>
      </c>
      <c r="G218" s="30">
        <v>7940</v>
      </c>
      <c r="H218" s="30">
        <v>93.3</v>
      </c>
      <c r="I218" s="30">
        <v>717141.55</v>
      </c>
      <c r="J218" s="31">
        <f>167465.0014 -(64890.80823*C218)-(88660.97356*D218)-(93638.37558*E218)+(1.166639942*F218)+(33.97310595*G218)+(2561.266053*H218)</f>
        <v>735849.69012287597</v>
      </c>
      <c r="K218" s="32">
        <f>I218-J218</f>
        <v>-18708.14012287592</v>
      </c>
    </row>
    <row r="219" spans="1:11">
      <c r="A219" s="36" t="s">
        <v>54</v>
      </c>
      <c r="C219" s="8">
        <f>IF(B219="North",1,0)</f>
        <v>0</v>
      </c>
      <c r="D219" s="8">
        <f>IF(B219="South",1,0)</f>
        <v>0</v>
      </c>
      <c r="E219" s="8">
        <f>IF(B219="East",1,0)</f>
        <v>0</v>
      </c>
      <c r="F219" s="30">
        <v>66455.8</v>
      </c>
      <c r="G219" s="30">
        <v>10836</v>
      </c>
      <c r="H219" s="30">
        <v>85</v>
      </c>
      <c r="I219" s="30">
        <v>811452.72</v>
      </c>
      <c r="J219" s="31">
        <f>167465.0014 -(64890.80823*C219)-(88660.97356*D219)-(93638.37558*E219)+(1.166639942*F219)+(33.97310595*G219)+(2561.266053*H219)</f>
        <v>830835.18263676355</v>
      </c>
      <c r="K219" s="32">
        <f>I219-J219</f>
        <v>-19382.462636763579</v>
      </c>
    </row>
    <row r="220" spans="1:11">
      <c r="A220" s="36" t="s">
        <v>38</v>
      </c>
      <c r="C220" s="8">
        <f>IF(B220="North",1,0)</f>
        <v>0</v>
      </c>
      <c r="D220" s="8">
        <f>IF(B220="South",1,0)</f>
        <v>0</v>
      </c>
      <c r="E220" s="8">
        <f>IF(B220="East",1,0)</f>
        <v>0</v>
      </c>
      <c r="F220" s="30">
        <v>70040.31</v>
      </c>
      <c r="G220" s="30">
        <v>9175</v>
      </c>
      <c r="H220" s="30">
        <v>95.1</v>
      </c>
      <c r="I220" s="30">
        <v>784502.68</v>
      </c>
      <c r="J220" s="31">
        <f>167465.0014 -(64890.80823*C220)-(88660.97356*D220)-(93638.37558*E220)+(1.166639942*F220)+(33.97310595*G220)+(2561.266053*H220)</f>
        <v>804456.47332761192</v>
      </c>
      <c r="K220" s="32">
        <f>I220-J220</f>
        <v>-19953.793327611871</v>
      </c>
    </row>
    <row r="221" spans="1:11">
      <c r="A221" s="36" t="s">
        <v>83</v>
      </c>
      <c r="C221" s="8">
        <f>IF(B221="North",1,0)</f>
        <v>0</v>
      </c>
      <c r="D221" s="8">
        <f>IF(B221="South",1,0)</f>
        <v>0</v>
      </c>
      <c r="E221" s="8">
        <f>IF(B221="East",1,0)</f>
        <v>0</v>
      </c>
      <c r="F221" s="30">
        <v>21536.18</v>
      </c>
      <c r="G221" s="30">
        <v>8119</v>
      </c>
      <c r="H221" s="30">
        <v>90.4</v>
      </c>
      <c r="I221" s="30">
        <v>679888.74</v>
      </c>
      <c r="J221" s="31">
        <f>167465.0014 -(64890.80823*C221)-(88660.97356*D221)-(93638.37558*E221)+(1.166639942*F221)+(33.97310595*G221)+(2561.266053*H221)</f>
        <v>699956.06758535153</v>
      </c>
      <c r="K221" s="32">
        <f>I221-J221</f>
        <v>-20067.327585351537</v>
      </c>
    </row>
    <row r="222" spans="1:11">
      <c r="A222" s="36" t="s">
        <v>85</v>
      </c>
      <c r="C222" s="8">
        <f>IF(B222="North",1,0)</f>
        <v>0</v>
      </c>
      <c r="D222" s="8">
        <f>IF(B222="South",1,0)</f>
        <v>0</v>
      </c>
      <c r="E222" s="8">
        <f>IF(B222="East",1,0)</f>
        <v>0</v>
      </c>
      <c r="F222" s="30">
        <v>36290.080000000002</v>
      </c>
      <c r="G222" s="30">
        <v>5787</v>
      </c>
      <c r="H222" s="30">
        <v>88.3</v>
      </c>
      <c r="I222" s="30">
        <v>612390.14</v>
      </c>
      <c r="J222" s="31">
        <f>167465.0014 -(64890.80823*C222)-(88660.97356*D222)-(93638.37558*E222)+(1.166639942*F222)+(33.97310595*G222)+(2561.266053*H222)</f>
        <v>632564.61483892531</v>
      </c>
      <c r="K222" s="32">
        <f>I222-J222</f>
        <v>-20174.474838925293</v>
      </c>
    </row>
    <row r="223" spans="1:11">
      <c r="A223" s="36" t="s">
        <v>59</v>
      </c>
      <c r="C223" s="8">
        <f>IF(B223="North",1,0)</f>
        <v>0</v>
      </c>
      <c r="D223" s="8">
        <f>IF(B223="South",1,0)</f>
        <v>0</v>
      </c>
      <c r="E223" s="8">
        <f>IF(B223="East",1,0)</f>
        <v>0</v>
      </c>
      <c r="F223" s="30">
        <v>51575.68</v>
      </c>
      <c r="G223" s="30">
        <v>5329</v>
      </c>
      <c r="H223" s="30">
        <v>88.1</v>
      </c>
      <c r="I223" s="30">
        <v>614024.91</v>
      </c>
      <c r="J223" s="31">
        <f>167465.0014 -(64890.80823*C223)-(88660.97356*D223)-(93638.37558*E223)+(1.166639942*F223)+(33.97310595*G223)+(2561.266053*H223)</f>
        <v>634325.47060066054</v>
      </c>
      <c r="K223" s="32">
        <f>I223-J223</f>
        <v>-20300.560600660508</v>
      </c>
    </row>
    <row r="224" spans="1:11">
      <c r="A224" s="36" t="s">
        <v>22</v>
      </c>
      <c r="C224" s="8">
        <f>IF(B224="North",1,0)</f>
        <v>0</v>
      </c>
      <c r="D224" s="8">
        <f>IF(B224="South",1,0)</f>
        <v>0</v>
      </c>
      <c r="E224" s="8">
        <f>IF(B224="East",1,0)</f>
        <v>0</v>
      </c>
      <c r="F224" s="30">
        <v>59909.51</v>
      </c>
      <c r="G224" s="30">
        <v>8895</v>
      </c>
      <c r="H224" s="30">
        <v>88.8</v>
      </c>
      <c r="I224" s="30">
        <v>746501.09</v>
      </c>
      <c r="J224" s="31">
        <f>167465.0014 -(64890.80823*C224)-(88660.97356*D224)-(93638.37558*E224)+(1.166639942*F224)+(33.97310595*G224)+(2561.266053*H224)</f>
        <v>766989.03160329838</v>
      </c>
      <c r="K224" s="32">
        <f>I224-J224</f>
        <v>-20487.941603298415</v>
      </c>
    </row>
    <row r="225" spans="1:11">
      <c r="A225" s="36" t="s">
        <v>91</v>
      </c>
      <c r="C225" s="8">
        <f>IF(B225="North",1,0)</f>
        <v>0</v>
      </c>
      <c r="D225" s="8">
        <f>IF(B225="South",1,0)</f>
        <v>0</v>
      </c>
      <c r="E225" s="8">
        <f>IF(B225="East",1,0)</f>
        <v>0</v>
      </c>
      <c r="F225" s="30">
        <v>70284.06</v>
      </c>
      <c r="G225" s="30">
        <v>9109</v>
      </c>
      <c r="H225" s="30">
        <v>87</v>
      </c>
      <c r="I225" s="30">
        <v>761122.42</v>
      </c>
      <c r="J225" s="31">
        <f>167465.0014 -(64890.80823*C225)-(88660.97356*D225)-(93638.37558*E225)+(1.166639942*F225)+(33.97310595*G225)+(2561.266053*H225)</f>
        <v>781752.36179147451</v>
      </c>
      <c r="K225" s="32">
        <f>I225-J225</f>
        <v>-20629.94179147447</v>
      </c>
    </row>
    <row r="226" spans="1:11">
      <c r="A226" s="36" t="s">
        <v>64</v>
      </c>
      <c r="C226" s="8">
        <f>IF(B226="North",1,0)</f>
        <v>0</v>
      </c>
      <c r="D226" s="8">
        <f>IF(B226="South",1,0)</f>
        <v>0</v>
      </c>
      <c r="E226" s="8">
        <f>IF(B226="East",1,0)</f>
        <v>0</v>
      </c>
      <c r="F226" s="30">
        <v>36606.51</v>
      </c>
      <c r="G226" s="30">
        <v>7671</v>
      </c>
      <c r="H226" s="30">
        <v>89.8</v>
      </c>
      <c r="I226" s="30">
        <v>679731.57</v>
      </c>
      <c r="J226" s="31">
        <f>167465.0014 -(64890.80823*C226)-(88660.97356*D226)-(93638.37558*E226)+(1.166639942*F226)+(33.97310595*G226)+(2561.266053*H226)</f>
        <v>700781.00540507236</v>
      </c>
      <c r="K226" s="32">
        <f>I226-J226</f>
        <v>-21049.435405072407</v>
      </c>
    </row>
    <row r="227" spans="1:11">
      <c r="A227" s="36" t="s">
        <v>88</v>
      </c>
      <c r="C227" s="8">
        <f>IF(B227="North",1,0)</f>
        <v>0</v>
      </c>
      <c r="D227" s="8">
        <f>IF(B227="South",1,0)</f>
        <v>0</v>
      </c>
      <c r="E227" s="8">
        <f>IF(B227="East",1,0)</f>
        <v>0</v>
      </c>
      <c r="F227" s="30">
        <v>58981.91</v>
      </c>
      <c r="G227" s="30">
        <v>7324</v>
      </c>
      <c r="H227" s="30">
        <v>95.8</v>
      </c>
      <c r="I227" s="30">
        <v>708985.19</v>
      </c>
      <c r="J227" s="31">
        <f>167465.0014 -(64890.80823*C227)-(88660.97356*D227)-(93638.37558*E227)+(1.166639942*F227)+(33.97310595*G227)+(2561.266053*H227)</f>
        <v>730463.96931664913</v>
      </c>
      <c r="K227" s="32">
        <f>I227-J227</f>
        <v>-21478.77931664919</v>
      </c>
    </row>
    <row r="228" spans="1:11">
      <c r="A228" s="36" t="s">
        <v>63</v>
      </c>
      <c r="C228" s="8">
        <f>IF(B228="North",1,0)</f>
        <v>0</v>
      </c>
      <c r="D228" s="8">
        <f>IF(B228="South",1,0)</f>
        <v>0</v>
      </c>
      <c r="E228" s="8">
        <f>IF(B228="East",1,0)</f>
        <v>0</v>
      </c>
      <c r="F228" s="30">
        <v>35303.300000000003</v>
      </c>
      <c r="G228" s="30">
        <v>8789</v>
      </c>
      <c r="H228" s="30">
        <v>86.1</v>
      </c>
      <c r="I228" s="30">
        <v>706285.52</v>
      </c>
      <c r="J228" s="31">
        <f>167465.0014 -(64890.80823*C228)-(88660.97356*D228)-(93638.37558*E228)+(1.166639942*F228)+(33.97310595*G228)+(2561.266053*H228)</f>
        <v>727765.87662225857</v>
      </c>
      <c r="K228" s="32">
        <f>I228-J228</f>
        <v>-21480.35662225855</v>
      </c>
    </row>
    <row r="229" spans="1:11">
      <c r="A229" s="36" t="s">
        <v>34</v>
      </c>
      <c r="C229" s="8">
        <f>IF(B229="North",1,0)</f>
        <v>0</v>
      </c>
      <c r="D229" s="8">
        <f>IF(B229="South",1,0)</f>
        <v>0</v>
      </c>
      <c r="E229" s="8">
        <f>IF(B229="East",1,0)</f>
        <v>0</v>
      </c>
      <c r="F229" s="30">
        <v>46624.05</v>
      </c>
      <c r="G229" s="30">
        <v>5104</v>
      </c>
      <c r="H229" s="30">
        <v>97.3</v>
      </c>
      <c r="I229" s="30">
        <v>622811.74</v>
      </c>
      <c r="J229" s="31">
        <f>167465.0014 -(64890.80823*C229)-(88660.97356*D229)-(93638.37558*E229)+(1.166639942*F229)+(33.97310595*G229)+(2561.266053*H229)</f>
        <v>644468.40011350508</v>
      </c>
      <c r="K229" s="32">
        <f>I229-J229</f>
        <v>-21656.660113505088</v>
      </c>
    </row>
    <row r="230" spans="1:11">
      <c r="A230" s="36" t="s">
        <v>23</v>
      </c>
      <c r="C230" s="8">
        <f>IF(B230="North",1,0)</f>
        <v>0</v>
      </c>
      <c r="D230" s="8">
        <f>IF(B230="South",1,0)</f>
        <v>0</v>
      </c>
      <c r="E230" s="8">
        <f>IF(B230="East",1,0)</f>
        <v>0</v>
      </c>
      <c r="F230" s="30">
        <v>78831.12</v>
      </c>
      <c r="G230" s="30">
        <v>5538</v>
      </c>
      <c r="H230" s="30">
        <v>94.1</v>
      </c>
      <c r="I230" s="30">
        <v>666573.19999999995</v>
      </c>
      <c r="J230" s="31">
        <f>167465.0014 -(64890.80823*C230)-(88660.97356*D230)-(93638.37558*E230)+(1.166639942*F230)+(33.97310595*G230)+(2561.266053*H230)</f>
        <v>688590.73100299493</v>
      </c>
      <c r="K230" s="32">
        <f>I230-J230</f>
        <v>-22017.531002994976</v>
      </c>
    </row>
    <row r="231" spans="1:11">
      <c r="A231" s="36" t="s">
        <v>19</v>
      </c>
      <c r="C231" s="8">
        <f>IF(B231="North",1,0)</f>
        <v>0</v>
      </c>
      <c r="D231" s="8">
        <f>IF(B231="South",1,0)</f>
        <v>0</v>
      </c>
      <c r="E231" s="8">
        <f>IF(B231="East",1,0)</f>
        <v>0</v>
      </c>
      <c r="F231" s="30">
        <v>34285.21</v>
      </c>
      <c r="G231" s="30">
        <v>9172</v>
      </c>
      <c r="H231" s="30">
        <v>88.3</v>
      </c>
      <c r="I231" s="30">
        <v>723060.76</v>
      </c>
      <c r="J231" s="31">
        <f>167465.0014 -(64890.80823*C231)-(88660.97356*D231)-(93638.37558*E231)+(1.166639942*F231)+(33.97310595*G231)+(2561.266053*H231)</f>
        <v>745224.61705915781</v>
      </c>
      <c r="K231" s="32">
        <f>I231-J231</f>
        <v>-22163.857059157803</v>
      </c>
    </row>
    <row r="232" spans="1:11">
      <c r="A232" s="36" t="s">
        <v>23</v>
      </c>
      <c r="C232" s="8">
        <f>IF(B232="North",1,0)</f>
        <v>0</v>
      </c>
      <c r="D232" s="8">
        <f>IF(B232="South",1,0)</f>
        <v>0</v>
      </c>
      <c r="E232" s="8">
        <f>IF(B232="East",1,0)</f>
        <v>0</v>
      </c>
      <c r="F232" s="30">
        <v>48804.22</v>
      </c>
      <c r="G232" s="30">
        <v>7057</v>
      </c>
      <c r="H232" s="30">
        <v>87.7</v>
      </c>
      <c r="I232" s="30">
        <v>666152.52</v>
      </c>
      <c r="J232" s="31">
        <f>167465.0014 -(64890.80823*C232)-(88660.97356*D232)-(93638.37558*E232)+(1.166639942*F232)+(33.97310595*G232)+(2561.266053*H232)</f>
        <v>688773.19532740524</v>
      </c>
      <c r="K232" s="32">
        <f>I232-J232</f>
        <v>-22620.675327405217</v>
      </c>
    </row>
    <row r="233" spans="1:11">
      <c r="A233" s="36" t="s">
        <v>72</v>
      </c>
      <c r="C233" s="8">
        <f>IF(B233="North",1,0)</f>
        <v>0</v>
      </c>
      <c r="D233" s="8">
        <f>IF(B233="South",1,0)</f>
        <v>0</v>
      </c>
      <c r="E233" s="8">
        <f>IF(B233="East",1,0)</f>
        <v>0</v>
      </c>
      <c r="F233" s="30">
        <v>64104.28</v>
      </c>
      <c r="G233" s="30">
        <v>6015</v>
      </c>
      <c r="H233" s="30">
        <v>88.7</v>
      </c>
      <c r="I233" s="30">
        <v>650795.49</v>
      </c>
      <c r="J233" s="31">
        <f>167465.0014 -(64890.80823*C233)-(88660.97356*D233)-(93638.37558*E233)+(1.166639942*F233)+(33.97310595*G233)+(2561.266053*H233)</f>
        <v>673784.14609150169</v>
      </c>
      <c r="K233" s="32">
        <f>I233-J233</f>
        <v>-22988.656091501703</v>
      </c>
    </row>
    <row r="234" spans="1:11">
      <c r="A234" s="36" t="s">
        <v>60</v>
      </c>
      <c r="C234" s="8">
        <f>IF(B234="North",1,0)</f>
        <v>0</v>
      </c>
      <c r="D234" s="8">
        <f>IF(B234="South",1,0)</f>
        <v>0</v>
      </c>
      <c r="E234" s="8">
        <f>IF(B234="East",1,0)</f>
        <v>0</v>
      </c>
      <c r="F234" s="30">
        <v>75645.23</v>
      </c>
      <c r="G234" s="30">
        <v>9674</v>
      </c>
      <c r="H234" s="30">
        <v>87.4</v>
      </c>
      <c r="I234" s="30">
        <v>785028.25</v>
      </c>
      <c r="J234" s="31">
        <f>167465.0014 -(64890.80823*C234)-(88660.97356*D234)-(93638.37558*E234)+(1.166639942*F234)+(33.97310595*G234)+(2561.266053*H234)</f>
        <v>808226.22813227656</v>
      </c>
      <c r="K234" s="32">
        <f>I234-J234</f>
        <v>-23197.978132276563</v>
      </c>
    </row>
    <row r="235" spans="1:11">
      <c r="A235" s="36" t="s">
        <v>96</v>
      </c>
      <c r="C235" s="8">
        <f>IF(B235="North",1,0)</f>
        <v>0</v>
      </c>
      <c r="D235" s="8">
        <f>IF(B235="South",1,0)</f>
        <v>0</v>
      </c>
      <c r="E235" s="8">
        <f>IF(B235="East",1,0)</f>
        <v>0</v>
      </c>
      <c r="F235" s="30">
        <v>46174.7</v>
      </c>
      <c r="G235" s="30">
        <v>4898</v>
      </c>
      <c r="H235" s="30">
        <v>91.7</v>
      </c>
      <c r="I235" s="30">
        <v>599017.32999999996</v>
      </c>
      <c r="J235" s="31">
        <f>167465.0014 -(64890.80823*C235)-(88660.97356*D235)-(93638.37558*E235)+(1.166639942*F235)+(33.97310595*G235)+(2561.266053*H235)</f>
        <v>622602.62073306739</v>
      </c>
      <c r="K235" s="32">
        <f>I235-J235</f>
        <v>-23585.290733067435</v>
      </c>
    </row>
    <row r="236" spans="1:11">
      <c r="A236" s="36" t="s">
        <v>92</v>
      </c>
      <c r="C236" s="8">
        <f>IF(B236="North",1,0)</f>
        <v>0</v>
      </c>
      <c r="D236" s="8">
        <f>IF(B236="South",1,0)</f>
        <v>0</v>
      </c>
      <c r="E236" s="8">
        <f>IF(B236="East",1,0)</f>
        <v>0</v>
      </c>
      <c r="F236" s="30">
        <v>34771.26</v>
      </c>
      <c r="G236" s="30">
        <v>4355</v>
      </c>
      <c r="H236" s="30">
        <v>87.9</v>
      </c>
      <c r="I236" s="30">
        <v>555557.77</v>
      </c>
      <c r="J236" s="31">
        <f>167465.0014 -(64890.80823*C236)-(88660.97356*D236)-(93638.37558*E236)+(1.166639942*F236)+(33.97310595*G236)+(2561.266053*H236)</f>
        <v>581118.70462061698</v>
      </c>
      <c r="K236" s="32">
        <f>I236-J236</f>
        <v>-25560.934620616958</v>
      </c>
    </row>
    <row r="237" spans="1:11">
      <c r="A237" s="36" t="s">
        <v>69</v>
      </c>
      <c r="C237" s="8">
        <f>IF(B237="North",1,0)</f>
        <v>0</v>
      </c>
      <c r="D237" s="8">
        <f>IF(B237="South",1,0)</f>
        <v>0</v>
      </c>
      <c r="E237" s="8">
        <f>IF(B237="East",1,0)</f>
        <v>0</v>
      </c>
      <c r="F237" s="30">
        <v>37705.879999999997</v>
      </c>
      <c r="G237" s="30">
        <v>1268</v>
      </c>
      <c r="H237" s="30">
        <v>84.1</v>
      </c>
      <c r="I237" s="30">
        <v>443275.59</v>
      </c>
      <c r="J237" s="31">
        <f>167465.0014 -(64890.80823*C237)-(88660.97356*D237)-(93638.37558*E237)+(1.166639942*F237)+(33.97310595*G237)+(2561.266053*H237)</f>
        <v>469934.56045815896</v>
      </c>
      <c r="K237" s="32">
        <f>I237-J237</f>
        <v>-26658.970458158932</v>
      </c>
    </row>
    <row r="238" spans="1:11">
      <c r="A238" s="36" t="s">
        <v>29</v>
      </c>
      <c r="C238" s="8">
        <f>IF(B238="North",1,0)</f>
        <v>0</v>
      </c>
      <c r="D238" s="8">
        <f>IF(B238="South",1,0)</f>
        <v>0</v>
      </c>
      <c r="E238" s="8">
        <f>IF(B238="East",1,0)</f>
        <v>0</v>
      </c>
      <c r="F238" s="30">
        <v>44970.080000000002</v>
      </c>
      <c r="G238" s="30">
        <v>2471</v>
      </c>
      <c r="H238" s="30">
        <v>87.6</v>
      </c>
      <c r="I238" s="30">
        <v>500173.02</v>
      </c>
      <c r="J238" s="31">
        <f>167465.0014 -(64890.80823*C238)-(88660.97356*D238)-(93638.37558*E238)+(1.166639942*F238)+(33.97310595*G238)+(2561.266053*H238)</f>
        <v>528243.34396818536</v>
      </c>
      <c r="K238" s="32">
        <f>I238-J238</f>
        <v>-28070.323968185345</v>
      </c>
    </row>
    <row r="239" spans="1:11">
      <c r="A239" s="36" t="s">
        <v>17</v>
      </c>
      <c r="C239" s="8">
        <f>IF(B239="North",1,0)</f>
        <v>0</v>
      </c>
      <c r="D239" s="8">
        <f>IF(B239="South",1,0)</f>
        <v>0</v>
      </c>
      <c r="E239" s="8">
        <f>IF(B239="East",1,0)</f>
        <v>0</v>
      </c>
      <c r="F239" s="30">
        <v>64811.21</v>
      </c>
      <c r="G239" s="30">
        <v>9792</v>
      </c>
      <c r="H239" s="30">
        <v>84.2</v>
      </c>
      <c r="I239" s="30">
        <v>761835.34</v>
      </c>
      <c r="J239" s="31">
        <f>167465.0014 -(64890.80823*C239)-(88660.97356*D239)-(93638.37558*E239)+(1.166639942*F239)+(33.97310595*G239)+(2561.266053*H239)</f>
        <v>791399.6028003497</v>
      </c>
      <c r="K239" s="32">
        <f>I239-J239</f>
        <v>-29564.262800349738</v>
      </c>
    </row>
    <row r="240" spans="1:11">
      <c r="A240" s="36" t="s">
        <v>65</v>
      </c>
      <c r="C240" s="8">
        <f>IF(B240="North",1,0)</f>
        <v>0</v>
      </c>
      <c r="D240" s="8">
        <f>IF(B240="South",1,0)</f>
        <v>0</v>
      </c>
      <c r="E240" s="8">
        <f>IF(B240="East",1,0)</f>
        <v>0</v>
      </c>
      <c r="F240" s="30">
        <v>63043.94</v>
      </c>
      <c r="G240" s="30">
        <v>10402</v>
      </c>
      <c r="H240" s="30">
        <v>93.9</v>
      </c>
      <c r="I240" s="30">
        <v>804264</v>
      </c>
      <c r="J240" s="31">
        <f>167465.0014 -(64890.80823*C240)-(88660.97356*D240)-(93638.37558*E240)+(1.166639942*F240)+(33.97310595*G240)+(2561.266053*H240)</f>
        <v>834905.71037365147</v>
      </c>
      <c r="K240" s="32">
        <f>I240-J240</f>
        <v>-30641.710373651469</v>
      </c>
    </row>
    <row r="241" spans="1:11">
      <c r="A241" s="36" t="s">
        <v>50</v>
      </c>
      <c r="C241" s="8">
        <f>IF(B241="North",1,0)</f>
        <v>0</v>
      </c>
      <c r="D241" s="8">
        <f>IF(B241="South",1,0)</f>
        <v>0</v>
      </c>
      <c r="E241" s="8">
        <f>IF(B241="East",1,0)</f>
        <v>0</v>
      </c>
      <c r="F241" s="30">
        <v>25990.54</v>
      </c>
      <c r="G241" s="30">
        <v>9249</v>
      </c>
      <c r="H241" s="30">
        <v>92.5</v>
      </c>
      <c r="I241" s="30">
        <v>718074.79</v>
      </c>
      <c r="J241" s="31">
        <f>167465.0014 -(64890.80823*C241)-(88660.97356*D241)-(93638.37558*E241)+(1.166639942*F241)+(33.97310595*G241)+(2561.266053*H241)</f>
        <v>748920.97031219862</v>
      </c>
      <c r="K241" s="32">
        <f>I241-J241</f>
        <v>-30846.180312198587</v>
      </c>
    </row>
    <row r="242" spans="1:11">
      <c r="A242" s="36" t="s">
        <v>61</v>
      </c>
      <c r="C242" s="8">
        <f>IF(B242="North",1,0)</f>
        <v>0</v>
      </c>
      <c r="D242" s="8">
        <f>IF(B242="South",1,0)</f>
        <v>0</v>
      </c>
      <c r="E242" s="8">
        <f>IF(B242="East",1,0)</f>
        <v>0</v>
      </c>
      <c r="F242" s="30">
        <v>41863.08</v>
      </c>
      <c r="G242" s="30">
        <v>5400</v>
      </c>
      <c r="H242" s="30">
        <v>91.6</v>
      </c>
      <c r="I242" s="30">
        <v>602002.31999999995</v>
      </c>
      <c r="J242" s="31">
        <f>167465.0014 -(64890.80823*C242)-(88660.97356*D242)-(93638.37558*E242)+(1.166639942*F242)+(33.97310595*G242)+(2561.266053*H242)</f>
        <v>634370.88520794129</v>
      </c>
      <c r="K242" s="32">
        <f>I242-J242</f>
        <v>-32368.565207941341</v>
      </c>
    </row>
    <row r="243" spans="1:11">
      <c r="A243" s="36" t="s">
        <v>23</v>
      </c>
      <c r="C243" s="8">
        <f>IF(B243="North",1,0)</f>
        <v>0</v>
      </c>
      <c r="D243" s="8">
        <f>IF(B243="South",1,0)</f>
        <v>0</v>
      </c>
      <c r="E243" s="8">
        <f>IF(B243="East",1,0)</f>
        <v>0</v>
      </c>
      <c r="F243" s="30">
        <v>59117.9</v>
      </c>
      <c r="G243" s="30">
        <v>4263</v>
      </c>
      <c r="H243" s="30">
        <v>87.6</v>
      </c>
      <c r="I243" s="30">
        <v>573155.18999999994</v>
      </c>
      <c r="J243" s="31">
        <f>167465.0014 -(64890.80823*C243)-(88660.97356*D243)-(93638.37558*E243)+(1.166639942*F243)+(33.97310595*G243)+(2561.266053*H243)</f>
        <v>605628.56173481175</v>
      </c>
      <c r="K243" s="32">
        <f>I243-J243</f>
        <v>-32473.371734811808</v>
      </c>
    </row>
    <row r="244" spans="1:11">
      <c r="A244" s="36" t="s">
        <v>41</v>
      </c>
      <c r="C244" s="8">
        <f>IF(B244="North",1,0)</f>
        <v>0</v>
      </c>
      <c r="D244" s="8">
        <f>IF(B244="South",1,0)</f>
        <v>0</v>
      </c>
      <c r="E244" s="8">
        <f>IF(B244="East",1,0)</f>
        <v>0</v>
      </c>
      <c r="F244" s="30">
        <v>77999.899999999994</v>
      </c>
      <c r="G244" s="30">
        <v>5974</v>
      </c>
      <c r="H244" s="30">
        <v>81.3</v>
      </c>
      <c r="I244" s="30">
        <v>636561.34</v>
      </c>
      <c r="J244" s="31">
        <f>167465.0014 -(64890.80823*C244)-(88660.97356*D244)-(93638.37558*E244)+(1.166639942*F244)+(33.97310595*G244)+(2561.266053*H244)</f>
        <v>669649.0652662057</v>
      </c>
      <c r="K244" s="32">
        <f>I244-J244</f>
        <v>-33087.725266205729</v>
      </c>
    </row>
    <row r="245" spans="1:11">
      <c r="A245" s="36" t="s">
        <v>95</v>
      </c>
      <c r="C245" s="8">
        <f>IF(B245="North",1,0)</f>
        <v>0</v>
      </c>
      <c r="D245" s="8">
        <f>IF(B245="South",1,0)</f>
        <v>0</v>
      </c>
      <c r="E245" s="8">
        <f>IF(B245="East",1,0)</f>
        <v>0</v>
      </c>
      <c r="F245" s="30">
        <v>51996.32</v>
      </c>
      <c r="G245" s="30">
        <v>3834</v>
      </c>
      <c r="H245" s="30">
        <v>86.7</v>
      </c>
      <c r="I245" s="30">
        <v>546223.69999999995</v>
      </c>
      <c r="J245" s="31">
        <f>167465.0014 -(64890.80823*C245)-(88660.97356*D245)-(93638.37558*E245)+(1.166639942*F245)+(33.97310595*G245)+(2561.266053*H245)</f>
        <v>580440.64015641343</v>
      </c>
      <c r="K245" s="32">
        <f>I245-J245</f>
        <v>-34216.940156413475</v>
      </c>
    </row>
    <row r="246" spans="1:11">
      <c r="A246" s="36" t="s">
        <v>78</v>
      </c>
      <c r="C246" s="8">
        <f>IF(B246="North",1,0)</f>
        <v>0</v>
      </c>
      <c r="D246" s="8">
        <f>IF(B246="South",1,0)</f>
        <v>0</v>
      </c>
      <c r="E246" s="8">
        <f>IF(B246="East",1,0)</f>
        <v>0</v>
      </c>
      <c r="F246" s="30">
        <v>42932.02</v>
      </c>
      <c r="G246" s="30">
        <v>3872</v>
      </c>
      <c r="H246" s="30">
        <v>83.2</v>
      </c>
      <c r="I246" s="30">
        <v>527681.56000000006</v>
      </c>
      <c r="J246" s="31">
        <f>167465.0014 -(64890.80823*C246)-(88660.97356*D246)-(93638.37558*E246)+(1.166639942*F246)+(33.97310595*G246)+(2561.266053*H246)</f>
        <v>562192.41257074289</v>
      </c>
      <c r="K246" s="32">
        <f>I246-J246</f>
        <v>-34510.852570742834</v>
      </c>
    </row>
    <row r="247" spans="1:11">
      <c r="A247" s="36" t="s">
        <v>47</v>
      </c>
      <c r="C247" s="8">
        <f>IF(B247="North",1,0)</f>
        <v>0</v>
      </c>
      <c r="D247" s="8">
        <f>IF(B247="South",1,0)</f>
        <v>0</v>
      </c>
      <c r="E247" s="8">
        <f>IF(B247="East",1,0)</f>
        <v>0</v>
      </c>
      <c r="F247" s="30">
        <v>63101.59</v>
      </c>
      <c r="G247" s="30">
        <v>4373</v>
      </c>
      <c r="H247" s="30">
        <v>90.4</v>
      </c>
      <c r="I247" s="30">
        <v>586626.93999999994</v>
      </c>
      <c r="J247" s="31">
        <f>167465.0014 -(64890.80823*C247)-(88660.97356*D247)-(93638.37558*E247)+(1.166639942*F247)+(33.97310595*G247)+(2561.266053*H247)</f>
        <v>621184.68020825775</v>
      </c>
      <c r="K247" s="32">
        <f>I247-J247</f>
        <v>-34557.740208257805</v>
      </c>
    </row>
    <row r="248" spans="1:11">
      <c r="A248" s="36" t="s">
        <v>31</v>
      </c>
      <c r="C248" s="8">
        <f>IF(B248="North",1,0)</f>
        <v>0</v>
      </c>
      <c r="D248" s="8">
        <f>IF(B248="South",1,0)</f>
        <v>0</v>
      </c>
      <c r="E248" s="8">
        <f>IF(B248="East",1,0)</f>
        <v>0</v>
      </c>
      <c r="F248" s="30">
        <v>61245.41</v>
      </c>
      <c r="G248" s="30">
        <v>8156</v>
      </c>
      <c r="H248" s="30">
        <v>92.9</v>
      </c>
      <c r="I248" s="30">
        <v>718330.53</v>
      </c>
      <c r="J248" s="31">
        <f>167465.0014 -(64890.80823*C248)-(88660.97356*D248)-(93638.37558*E248)+(1.166639942*F248)+(33.97310595*G248)+(2561.266053*H248)</f>
        <v>753942.61142206623</v>
      </c>
      <c r="K248" s="32">
        <f>I248-J248</f>
        <v>-35612.0814220662</v>
      </c>
    </row>
    <row r="249" spans="1:11">
      <c r="A249" s="36" t="s">
        <v>52</v>
      </c>
      <c r="C249" s="8">
        <f>IF(B249="North",1,0)</f>
        <v>0</v>
      </c>
      <c r="D249" s="8">
        <f>IF(B249="South",1,0)</f>
        <v>0</v>
      </c>
      <c r="E249" s="8">
        <f>IF(B249="East",1,0)</f>
        <v>0</v>
      </c>
      <c r="F249" s="30">
        <v>48396.13</v>
      </c>
      <c r="G249" s="30">
        <v>4423</v>
      </c>
      <c r="H249" s="30">
        <v>85.7</v>
      </c>
      <c r="I249" s="30">
        <v>557487.26</v>
      </c>
      <c r="J249" s="31">
        <f>167465.0014 -(64890.80823*C249)-(88660.97356*D249)-(93638.37558*E249)+(1.166639942*F249)+(33.97310595*G249)+(2561.266053*H249)</f>
        <v>593689.4080551744</v>
      </c>
      <c r="K249" s="32">
        <f>I249-J249</f>
        <v>-36202.148055174388</v>
      </c>
    </row>
    <row r="250" spans="1:11">
      <c r="A250" s="36" t="s">
        <v>30</v>
      </c>
      <c r="C250" s="8">
        <f>IF(B250="North",1,0)</f>
        <v>0</v>
      </c>
      <c r="D250" s="8">
        <f>IF(B250="South",1,0)</f>
        <v>0</v>
      </c>
      <c r="E250" s="8">
        <f>IF(B250="East",1,0)</f>
        <v>0</v>
      </c>
      <c r="F250" s="30">
        <v>52483.77</v>
      </c>
      <c r="G250" s="30">
        <v>10453</v>
      </c>
      <c r="H250" s="30">
        <v>99</v>
      </c>
      <c r="I250" s="30">
        <v>800979.78</v>
      </c>
      <c r="J250" s="31">
        <f>167465.0014 -(64890.80823*C250)-(88660.97356*D250)-(93638.37558*E250)+(1.166639942*F250)+(33.97310595*G250)+(2561.266053*H250)</f>
        <v>837380.87953109131</v>
      </c>
      <c r="K250" s="32">
        <f>I250-J250</f>
        <v>-36401.099531091284</v>
      </c>
    </row>
    <row r="251" spans="1:11">
      <c r="A251" s="36" t="s">
        <v>71</v>
      </c>
      <c r="C251" s="8">
        <f>IF(B251="North",1,0)</f>
        <v>0</v>
      </c>
      <c r="D251" s="8">
        <f>IF(B251="South",1,0)</f>
        <v>0</v>
      </c>
      <c r="E251" s="8">
        <f>IF(B251="East",1,0)</f>
        <v>0</v>
      </c>
      <c r="F251" s="30">
        <v>54002.83</v>
      </c>
      <c r="G251" s="30">
        <v>4366</v>
      </c>
      <c r="H251" s="30">
        <v>90.6</v>
      </c>
      <c r="I251" s="30">
        <v>574066.61</v>
      </c>
      <c r="J251" s="31">
        <f>167465.0014 -(64890.80823*C251)-(88660.97356*D251)-(93638.37558*E251)+(1.166639942*F251)+(33.97310595*G251)+(2561.266053*H251)</f>
        <v>610844.14483853581</v>
      </c>
      <c r="K251" s="32">
        <f>I251-J251</f>
        <v>-36777.534838535823</v>
      </c>
    </row>
    <row r="252" spans="1:11">
      <c r="A252" s="36" t="s">
        <v>58</v>
      </c>
      <c r="C252" s="8">
        <f>IF(B252="North",1,0)</f>
        <v>0</v>
      </c>
      <c r="D252" s="8">
        <f>IF(B252="South",1,0)</f>
        <v>0</v>
      </c>
      <c r="E252" s="8">
        <f>IF(B252="East",1,0)</f>
        <v>0</v>
      </c>
      <c r="F252" s="30">
        <v>50909.27</v>
      </c>
      <c r="G252" s="30">
        <v>3152</v>
      </c>
      <c r="H252" s="30">
        <v>93.7</v>
      </c>
      <c r="I252" s="30">
        <v>537058.32999999996</v>
      </c>
      <c r="J252" s="31">
        <f>167465.0014 -(64890.80823*C252)-(88660.97356*D252)-(93638.37558*E252)+(1.166639942*F252)+(33.97310595*G252)+(2561.266053*H252)</f>
        <v>573931.64832056232</v>
      </c>
      <c r="K252" s="32">
        <f>I252-J252</f>
        <v>-36873.318320562365</v>
      </c>
    </row>
    <row r="253" spans="1:11">
      <c r="A253" s="36" t="s">
        <v>39</v>
      </c>
      <c r="C253" s="8">
        <f>IF(B253="North",1,0)</f>
        <v>0</v>
      </c>
      <c r="D253" s="8">
        <f>IF(B253="South",1,0)</f>
        <v>0</v>
      </c>
      <c r="E253" s="8">
        <f>IF(B253="East",1,0)</f>
        <v>0</v>
      </c>
      <c r="F253" s="30">
        <v>36813.449999999997</v>
      </c>
      <c r="G253" s="30">
        <v>2834</v>
      </c>
      <c r="H253" s="30">
        <v>81.8</v>
      </c>
      <c r="I253" s="30">
        <v>479050.5</v>
      </c>
      <c r="J253" s="31">
        <f>167465.0014 -(64890.80823*C253)-(88660.97356*D253)-(93638.37558*E253)+(1.166639942*F253)+(33.97310595*G253)+(2561.266053*H253)</f>
        <v>516204.38797051983</v>
      </c>
      <c r="K253" s="32">
        <f>I253-J253</f>
        <v>-37153.887970519834</v>
      </c>
    </row>
    <row r="254" spans="1:11">
      <c r="A254" s="36" t="s">
        <v>65</v>
      </c>
      <c r="C254" s="8">
        <f>IF(B254="North",1,0)</f>
        <v>0</v>
      </c>
      <c r="D254" s="8">
        <f>IF(B254="South",1,0)</f>
        <v>0</v>
      </c>
      <c r="E254" s="8">
        <f>IF(B254="East",1,0)</f>
        <v>0</v>
      </c>
      <c r="F254" s="30">
        <v>68040.149999999994</v>
      </c>
      <c r="G254" s="30">
        <v>9826</v>
      </c>
      <c r="H254" s="30">
        <v>83.9</v>
      </c>
      <c r="I254" s="30">
        <v>758138.29</v>
      </c>
      <c r="J254" s="31">
        <f>167465.0014 -(64890.80823*C254)-(88660.97356*D254)-(93638.37558*E254)+(1.166639942*F254)+(33.97310595*G254)+(2561.266053*H254)</f>
        <v>795553.31896107132</v>
      </c>
      <c r="K254" s="32">
        <f>I254-J254</f>
        <v>-37415.028961071279</v>
      </c>
    </row>
    <row r="255" spans="1:11">
      <c r="A255" s="36" t="s">
        <v>35</v>
      </c>
      <c r="C255" s="8">
        <f>IF(B255="North",1,0)</f>
        <v>0</v>
      </c>
      <c r="D255" s="8">
        <f>IF(B255="South",1,0)</f>
        <v>0</v>
      </c>
      <c r="E255" s="8">
        <f>IF(B255="East",1,0)</f>
        <v>0</v>
      </c>
      <c r="F255" s="30">
        <v>27808.6</v>
      </c>
      <c r="G255" s="30">
        <v>2863</v>
      </c>
      <c r="H255" s="30">
        <v>89.3</v>
      </c>
      <c r="I255" s="30">
        <v>487464.91</v>
      </c>
      <c r="J255" s="31">
        <f>167465.0014 -(64890.80823*C255)-(88660.97356*D255)-(93638.37558*E255)+(1.166639942*F255)+(33.97310595*G255)+(2561.266053*H255)</f>
        <v>525893.68575885112</v>
      </c>
      <c r="K255" s="32">
        <f>I255-J255</f>
        <v>-38428.775758851145</v>
      </c>
    </row>
    <row r="256" spans="1:11">
      <c r="A256" s="36" t="s">
        <v>83</v>
      </c>
      <c r="C256" s="8">
        <f>IF(B256="North",1,0)</f>
        <v>0</v>
      </c>
      <c r="D256" s="8">
        <f>IF(B256="South",1,0)</f>
        <v>0</v>
      </c>
      <c r="E256" s="8">
        <f>IF(B256="East",1,0)</f>
        <v>0</v>
      </c>
      <c r="F256" s="30">
        <v>57390.04</v>
      </c>
      <c r="G256" s="30">
        <v>7374</v>
      </c>
      <c r="H256" s="30">
        <v>91.8</v>
      </c>
      <c r="I256" s="30">
        <v>679230.86</v>
      </c>
      <c r="J256" s="31">
        <f>167465.0014 -(64890.80823*C256)-(88660.97356*D256)-(93638.37558*E256)+(1.166639942*F256)+(33.97310595*G256)+(2561.266053*H256)</f>
        <v>720060.42127767764</v>
      </c>
      <c r="K256" s="32">
        <f>I256-J256</f>
        <v>-40829.561277677654</v>
      </c>
    </row>
    <row r="257" spans="1:11">
      <c r="A257" s="36" t="s">
        <v>64</v>
      </c>
      <c r="C257" s="8">
        <f>IF(B257="North",1,0)</f>
        <v>0</v>
      </c>
      <c r="D257" s="8">
        <f>IF(B257="South",1,0)</f>
        <v>0</v>
      </c>
      <c r="E257" s="8">
        <f>IF(B257="East",1,0)</f>
        <v>0</v>
      </c>
      <c r="F257" s="30">
        <v>62059.18</v>
      </c>
      <c r="G257" s="30">
        <v>9374</v>
      </c>
      <c r="H257" s="30">
        <v>87.1</v>
      </c>
      <c r="I257" s="30">
        <v>739831.73</v>
      </c>
      <c r="J257" s="31">
        <f>167465.0014 -(64890.80823*C257)-(88660.97356*D257)-(93638.37558*E257)+(1.166639942*F257)+(33.97310595*G257)+(2561.266053*H257)</f>
        <v>781415.8879473675</v>
      </c>
      <c r="K257" s="32">
        <f>I257-J257</f>
        <v>-41584.157947367523</v>
      </c>
    </row>
    <row r="258" spans="1:11">
      <c r="A258" s="36" t="s">
        <v>99</v>
      </c>
      <c r="C258" s="8">
        <f>IF(B258="North",1,0)</f>
        <v>0</v>
      </c>
      <c r="D258" s="8">
        <f>IF(B258="South",1,0)</f>
        <v>0</v>
      </c>
      <c r="E258" s="8">
        <f>IF(B258="East",1,0)</f>
        <v>0</v>
      </c>
      <c r="F258" s="30">
        <v>23702.38</v>
      </c>
      <c r="G258" s="30">
        <v>5285</v>
      </c>
      <c r="H258" s="30">
        <v>79.7</v>
      </c>
      <c r="I258" s="30">
        <v>536524.84</v>
      </c>
      <c r="J258" s="31">
        <f>167465.0014 -(64890.80823*C258)-(88660.97356*D258)-(93638.37558*E258)+(1.166639942*F258)+(33.97310595*G258)+(2561.266053*H258)</f>
        <v>578797.91399831197</v>
      </c>
      <c r="K258" s="32">
        <f>I258-J258</f>
        <v>-42273.073998312</v>
      </c>
    </row>
    <row r="259" spans="1:11">
      <c r="A259" s="36" t="s">
        <v>71</v>
      </c>
      <c r="C259" s="8">
        <f>IF(B259="North",1,0)</f>
        <v>0</v>
      </c>
      <c r="D259" s="8">
        <f>IF(B259="South",1,0)</f>
        <v>0</v>
      </c>
      <c r="E259" s="8">
        <f>IF(B259="East",1,0)</f>
        <v>0</v>
      </c>
      <c r="F259" s="30">
        <v>54479.33</v>
      </c>
      <c r="G259" s="30">
        <v>5012</v>
      </c>
      <c r="H259" s="30">
        <v>86</v>
      </c>
      <c r="I259" s="30">
        <v>578949.84</v>
      </c>
      <c r="J259" s="31">
        <f>167465.0014 -(64890.80823*C259)-(88660.97356*D259)-(93638.37558*E259)+(1.166639942*F259)+(33.97310595*G259)+(2561.266053*H259)</f>
        <v>621564.85137079877</v>
      </c>
      <c r="K259" s="32">
        <f>I259-J259</f>
        <v>-42615.011370798806</v>
      </c>
    </row>
    <row r="260" spans="1:11">
      <c r="A260" s="36" t="s">
        <v>72</v>
      </c>
      <c r="C260" s="8">
        <f>IF(B260="North",1,0)</f>
        <v>0</v>
      </c>
      <c r="D260" s="8">
        <f>IF(B260="South",1,0)</f>
        <v>0</v>
      </c>
      <c r="E260" s="8">
        <f>IF(B260="East",1,0)</f>
        <v>0</v>
      </c>
      <c r="F260" s="30">
        <v>35203.230000000003</v>
      </c>
      <c r="G260" s="30">
        <v>6896</v>
      </c>
      <c r="H260" s="30">
        <v>80.8</v>
      </c>
      <c r="I260" s="30">
        <v>607084.92000000004</v>
      </c>
      <c r="J260" s="31">
        <f>167465.0014 -(64890.80823*C260)-(88660.97356*D260)-(93638.37558*E260)+(1.166639942*F260)+(33.97310595*G260)+(2561.266053*H260)</f>
        <v>649763.33131901256</v>
      </c>
      <c r="K260" s="32">
        <f>I260-J260</f>
        <v>-42678.411319012521</v>
      </c>
    </row>
    <row r="261" spans="1:11">
      <c r="A261" s="36" t="s">
        <v>77</v>
      </c>
      <c r="C261" s="8">
        <f>IF(B261="North",1,0)</f>
        <v>0</v>
      </c>
      <c r="D261" s="8">
        <f>IF(B261="South",1,0)</f>
        <v>0</v>
      </c>
      <c r="E261" s="8">
        <f>IF(B261="East",1,0)</f>
        <v>0</v>
      </c>
      <c r="F261" s="30">
        <v>73540.990000000005</v>
      </c>
      <c r="G261" s="30">
        <v>8773</v>
      </c>
      <c r="H261" s="30">
        <v>84.4</v>
      </c>
      <c r="I261" s="30">
        <v>723531.4</v>
      </c>
      <c r="J261" s="31">
        <f>167465.0014 -(64890.80823*C261)-(88660.97356*D261)-(93638.37558*E261)+(1.166639942*F261)+(33.97310595*G261)+(2561.266053*H261)</f>
        <v>767477.77108077263</v>
      </c>
      <c r="K261" s="32">
        <f>I261-J261</f>
        <v>-43946.371080772602</v>
      </c>
    </row>
    <row r="262" spans="1:11">
      <c r="A262" s="36" t="s">
        <v>94</v>
      </c>
      <c r="C262" s="8">
        <f>IF(B262="North",1,0)</f>
        <v>0</v>
      </c>
      <c r="D262" s="8">
        <f>IF(B262="South",1,0)</f>
        <v>0</v>
      </c>
      <c r="E262" s="8">
        <f>IF(B262="East",1,0)</f>
        <v>0</v>
      </c>
      <c r="F262" s="30">
        <v>68909.259999999995</v>
      </c>
      <c r="G262" s="30">
        <v>7794</v>
      </c>
      <c r="H262" s="30">
        <v>89</v>
      </c>
      <c r="I262" s="30">
        <v>696261.49</v>
      </c>
      <c r="J262" s="31">
        <f>167465.0014 -(64890.80823*C262)-(88660.97356*D262)-(93638.37558*E262)+(1.166639942*F262)+(33.97310595*G262)+(2561.266053*H262)</f>
        <v>740596.36298096285</v>
      </c>
      <c r="K262" s="32">
        <f>I262-J262</f>
        <v>-44334.872980962857</v>
      </c>
    </row>
    <row r="263" spans="1:11">
      <c r="A263" s="36" t="s">
        <v>92</v>
      </c>
      <c r="C263" s="8">
        <f>IF(B263="North",1,0)</f>
        <v>0</v>
      </c>
      <c r="D263" s="8">
        <f>IF(B263="South",1,0)</f>
        <v>0</v>
      </c>
      <c r="E263" s="8">
        <f>IF(B263="East",1,0)</f>
        <v>0</v>
      </c>
      <c r="F263" s="30">
        <v>45940.39</v>
      </c>
      <c r="G263" s="30">
        <v>4022</v>
      </c>
      <c r="H263" s="30">
        <v>83</v>
      </c>
      <c r="I263" s="30">
        <v>524899.56999999995</v>
      </c>
      <c r="J263" s="31">
        <f>167465.0014 -(64890.80823*C263)-(88660.97356*D263)-(93638.37558*E263)+(1.166639942*F263)+(33.97310595*G263)+(2561.266053*H263)</f>
        <v>570285.80985495739</v>
      </c>
      <c r="K263" s="32">
        <f>I263-J263</f>
        <v>-45386.239854957443</v>
      </c>
    </row>
    <row r="264" spans="1:11">
      <c r="A264" s="36" t="s">
        <v>33</v>
      </c>
      <c r="C264" s="8">
        <f>IF(B264="North",1,0)</f>
        <v>0</v>
      </c>
      <c r="D264" s="8">
        <f>IF(B264="South",1,0)</f>
        <v>0</v>
      </c>
      <c r="E264" s="8">
        <f>IF(B264="East",1,0)</f>
        <v>0</v>
      </c>
      <c r="F264" s="30">
        <v>63630.21</v>
      </c>
      <c r="G264" s="30">
        <v>4460</v>
      </c>
      <c r="H264" s="30">
        <v>98.6</v>
      </c>
      <c r="I264" s="30">
        <v>599603.4</v>
      </c>
      <c r="J264" s="31">
        <f>167465.0014 -(64890.80823*C264)-(88660.97356*D264)-(93638.37558*E264)+(1.166639942*F264)+(33.97310595*G264)+(2561.266053*H264)</f>
        <v>645759.43126664776</v>
      </c>
      <c r="K264" s="32">
        <f>I264-J264</f>
        <v>-46156.03126664774</v>
      </c>
    </row>
    <row r="265" spans="1:11">
      <c r="A265" s="36" t="s">
        <v>65</v>
      </c>
      <c r="C265" s="8">
        <f>IF(B265="North",1,0)</f>
        <v>0</v>
      </c>
      <c r="D265" s="8">
        <f>IF(B265="South",1,0)</f>
        <v>0</v>
      </c>
      <c r="E265" s="8">
        <f>IF(B265="East",1,0)</f>
        <v>0</v>
      </c>
      <c r="F265" s="30">
        <v>43645.98</v>
      </c>
      <c r="G265" s="30">
        <v>9480</v>
      </c>
      <c r="H265" s="30">
        <v>89</v>
      </c>
      <c r="I265" s="30">
        <v>721364.11</v>
      </c>
      <c r="J265" s="31">
        <f>167465.0014 -(64890.80823*C265)-(88660.97356*D265)-(93638.37558*E265)+(1.166639942*F265)+(33.97310595*G265)+(2561.266053*H265)</f>
        <v>768401.86809873313</v>
      </c>
      <c r="K265" s="32">
        <f>I265-J265</f>
        <v>-47037.758098733146</v>
      </c>
    </row>
    <row r="266" spans="1:11">
      <c r="A266" s="36" t="s">
        <v>79</v>
      </c>
      <c r="C266" s="8">
        <f>IF(B266="North",1,0)</f>
        <v>0</v>
      </c>
      <c r="D266" s="8">
        <f>IF(B266="South",1,0)</f>
        <v>0</v>
      </c>
      <c r="E266" s="8">
        <f>IF(B266="East",1,0)</f>
        <v>0</v>
      </c>
      <c r="F266" s="30">
        <v>33173.949999999997</v>
      </c>
      <c r="G266" s="30">
        <v>6545</v>
      </c>
      <c r="H266" s="30">
        <v>84.4</v>
      </c>
      <c r="I266" s="30">
        <v>596969.27</v>
      </c>
      <c r="J266" s="31">
        <f>167465.0014 -(64890.80823*C266)-(88660.97356*D266)-(93638.37558*E266)+(1.166639942*F266)+(33.97310595*G266)+(2561.266053*H266)</f>
        <v>644691.88981986092</v>
      </c>
      <c r="K266" s="32">
        <f>I266-J266</f>
        <v>-47722.619819860905</v>
      </c>
    </row>
    <row r="267" spans="1:11">
      <c r="A267" s="36" t="s">
        <v>60</v>
      </c>
      <c r="C267" s="8">
        <f>IF(B267="North",1,0)</f>
        <v>0</v>
      </c>
      <c r="D267" s="8">
        <f>IF(B267="South",1,0)</f>
        <v>0</v>
      </c>
      <c r="E267" s="8">
        <f>IF(B267="East",1,0)</f>
        <v>0</v>
      </c>
      <c r="F267" s="30">
        <v>61433.84</v>
      </c>
      <c r="G267" s="30">
        <v>7745</v>
      </c>
      <c r="H267" s="30">
        <v>90.5</v>
      </c>
      <c r="I267" s="30">
        <v>685830.24</v>
      </c>
      <c r="J267" s="31">
        <f>167465.0014 -(64890.80823*C267)-(88660.97356*D267)-(93638.37558*E267)+(1.166639942*F267)+(33.97310595*G267)+(2561.266053*H267)</f>
        <v>734052.45631368726</v>
      </c>
      <c r="K267" s="32">
        <f>I267-J267</f>
        <v>-48222.21631368727</v>
      </c>
    </row>
    <row r="268" spans="1:11">
      <c r="A268" s="36" t="s">
        <v>36</v>
      </c>
      <c r="C268" s="8">
        <f>IF(B268="North",1,0)</f>
        <v>0</v>
      </c>
      <c r="D268" s="8">
        <f>IF(B268="South",1,0)</f>
        <v>0</v>
      </c>
      <c r="E268" s="8">
        <f>IF(B268="East",1,0)</f>
        <v>0</v>
      </c>
      <c r="F268" s="30">
        <v>118910.48</v>
      </c>
      <c r="G268" s="30">
        <v>4022</v>
      </c>
      <c r="H268" s="30">
        <v>87.1</v>
      </c>
      <c r="I268" s="30">
        <v>617291.15</v>
      </c>
      <c r="J268" s="31">
        <f>167465.0014 -(64890.80823*C268)-(88660.97356*D268)-(93638.37558*E268)+(1.166639942*F268)+(33.97310595*G268)+(2561.266053*H268)</f>
        <v>665916.82223759207</v>
      </c>
      <c r="K268" s="32">
        <f>I268-J268</f>
        <v>-48625.672237592051</v>
      </c>
    </row>
    <row r="269" spans="1:11">
      <c r="A269" s="36" t="s">
        <v>50</v>
      </c>
      <c r="C269" s="8">
        <f>IF(B269="North",1,0)</f>
        <v>0</v>
      </c>
      <c r="D269" s="8">
        <f>IF(B269="South",1,0)</f>
        <v>0</v>
      </c>
      <c r="E269" s="8">
        <f>IF(B269="East",1,0)</f>
        <v>0</v>
      </c>
      <c r="F269" s="30">
        <v>33605.18</v>
      </c>
      <c r="G269" s="30">
        <v>9225</v>
      </c>
      <c r="H269" s="30">
        <v>88.4</v>
      </c>
      <c r="I269" s="30">
        <v>697287.9</v>
      </c>
      <c r="J269" s="31">
        <f>167465.0014 -(64890.80823*C269)-(88660.97356*D269)-(93638.37558*E269)+(1.166639942*F269)+(33.97310595*G269)+(2561.266053*H269)</f>
        <v>746487.96812004957</v>
      </c>
      <c r="K269" s="32">
        <f>I269-J269</f>
        <v>-49200.068120049546</v>
      </c>
    </row>
    <row r="270" spans="1:11">
      <c r="A270" s="36" t="s">
        <v>62</v>
      </c>
      <c r="C270" s="8">
        <f>IF(B270="North",1,0)</f>
        <v>0</v>
      </c>
      <c r="D270" s="8">
        <f>IF(B270="South",1,0)</f>
        <v>0</v>
      </c>
      <c r="E270" s="8">
        <f>IF(B270="East",1,0)</f>
        <v>0</v>
      </c>
      <c r="F270" s="30">
        <v>41443.410000000003</v>
      </c>
      <c r="G270" s="30">
        <v>7455</v>
      </c>
      <c r="H270" s="30">
        <v>90.1</v>
      </c>
      <c r="I270" s="30">
        <v>650480.06000000006</v>
      </c>
      <c r="J270" s="31">
        <f>167465.0014 -(64890.80823*C270)-(88660.97356*D270)-(93638.37558*E270)+(1.166639942*F270)+(33.97310595*G270)+(2561.266053*H270)</f>
        <v>699854.1150712322</v>
      </c>
      <c r="K270" s="32">
        <f>I270-J270</f>
        <v>-49374.055071232142</v>
      </c>
    </row>
    <row r="271" spans="1:11">
      <c r="A271" s="36" t="s">
        <v>58</v>
      </c>
      <c r="C271" s="8">
        <f>IF(B271="North",1,0)</f>
        <v>0</v>
      </c>
      <c r="D271" s="8">
        <f>IF(B271="South",1,0)</f>
        <v>0</v>
      </c>
      <c r="E271" s="8">
        <f>IF(B271="East",1,0)</f>
        <v>0</v>
      </c>
      <c r="F271" s="30">
        <v>70488.2</v>
      </c>
      <c r="G271" s="30">
        <v>4312</v>
      </c>
      <c r="H271" s="30">
        <v>90.2</v>
      </c>
      <c r="I271" s="30">
        <v>577732.56999999995</v>
      </c>
      <c r="J271" s="31">
        <f>167465.0014 -(64890.80823*C271)-(88660.97356*D271)-(93638.37558*E271)+(1.166639942*F271)+(33.97310595*G271)+(2561.266053*H271)</f>
        <v>627217.5817966843</v>
      </c>
      <c r="K271" s="32">
        <f>I271-J271</f>
        <v>-49485.011796684354</v>
      </c>
    </row>
    <row r="272" spans="1:11">
      <c r="A272" s="36" t="s">
        <v>55</v>
      </c>
      <c r="C272" s="8">
        <f>IF(B272="North",1,0)</f>
        <v>0</v>
      </c>
      <c r="D272" s="8">
        <f>IF(B272="South",1,0)</f>
        <v>0</v>
      </c>
      <c r="E272" s="8">
        <f>IF(B272="East",1,0)</f>
        <v>0</v>
      </c>
      <c r="F272" s="30">
        <v>70276.28</v>
      </c>
      <c r="G272" s="30">
        <v>3043</v>
      </c>
      <c r="H272" s="30">
        <v>87.9</v>
      </c>
      <c r="I272" s="30">
        <v>527300.13</v>
      </c>
      <c r="J272" s="31">
        <f>167465.0014 -(64890.80823*C272)-(88660.97356*D272)-(93638.37558*E272)+(1.166639942*F272)+(33.97310595*G272)+(2561.266053*H272)</f>
        <v>577967.56408772571</v>
      </c>
      <c r="K272" s="32">
        <f>I272-J272</f>
        <v>-50667.434087725705</v>
      </c>
    </row>
    <row r="273" spans="1:11">
      <c r="A273" s="36" t="s">
        <v>36</v>
      </c>
      <c r="C273" s="8">
        <f>IF(B273="North",1,0)</f>
        <v>0</v>
      </c>
      <c r="D273" s="8">
        <f>IF(B273="South",1,0)</f>
        <v>0</v>
      </c>
      <c r="E273" s="8">
        <f>IF(B273="East",1,0)</f>
        <v>0</v>
      </c>
      <c r="F273" s="30">
        <v>52952.12</v>
      </c>
      <c r="G273" s="30">
        <v>4377</v>
      </c>
      <c r="H273" s="30">
        <v>88.6</v>
      </c>
      <c r="I273" s="30">
        <v>553756.43000000005</v>
      </c>
      <c r="J273" s="31">
        <f>167465.0014 -(64890.80823*C273)-(88660.97356*D273)-(93638.37558*E273)+(1.166639942*F273)+(33.97310595*G273)+(2561.266053*H273)</f>
        <v>604869.51664452697</v>
      </c>
      <c r="K273" s="32">
        <f>I273-J273</f>
        <v>-51113.08664452692</v>
      </c>
    </row>
    <row r="274" spans="1:11">
      <c r="A274" s="36" t="s">
        <v>101</v>
      </c>
      <c r="C274" s="8">
        <f>IF(B274="North",1,0)</f>
        <v>0</v>
      </c>
      <c r="D274" s="8">
        <f>IF(B274="South",1,0)</f>
        <v>0</v>
      </c>
      <c r="E274" s="8">
        <f>IF(B274="East",1,0)</f>
        <v>0</v>
      </c>
      <c r="F274" s="30">
        <v>40553.11</v>
      </c>
      <c r="G274" s="30">
        <v>5317</v>
      </c>
      <c r="H274" s="30">
        <v>84.3</v>
      </c>
      <c r="I274" s="30">
        <v>559660.84</v>
      </c>
      <c r="J274" s="31">
        <f>167465.0014 -(64890.80823*C274)-(88660.97356*D274)-(93638.37558*E274)+(1.166639942*F274)+(33.97310595*G274)+(2561.266053*H274)</f>
        <v>611325.61190236954</v>
      </c>
      <c r="K274" s="32">
        <f>I274-J274</f>
        <v>-51664.771902369568</v>
      </c>
    </row>
    <row r="275" spans="1:11">
      <c r="A275" s="36" t="s">
        <v>52</v>
      </c>
      <c r="C275" s="8">
        <f>IF(B275="North",1,0)</f>
        <v>0</v>
      </c>
      <c r="D275" s="8">
        <f>IF(B275="South",1,0)</f>
        <v>0</v>
      </c>
      <c r="E275" s="8">
        <f>IF(B275="East",1,0)</f>
        <v>0</v>
      </c>
      <c r="F275" s="30">
        <v>43896.13</v>
      </c>
      <c r="G275" s="30">
        <v>3853</v>
      </c>
      <c r="H275" s="30">
        <v>83</v>
      </c>
      <c r="I275" s="30">
        <v>509484.81</v>
      </c>
      <c r="J275" s="31">
        <f>167465.0014 -(64890.80823*C275)-(88660.97356*D275)-(93638.37558*E275)+(1.166639942*F275)+(33.97310595*G275)+(2561.266053*H275)</f>
        <v>562159.43958157441</v>
      </c>
      <c r="K275" s="32">
        <f>I275-J275</f>
        <v>-52674.629581574409</v>
      </c>
    </row>
    <row r="276" spans="1:11">
      <c r="A276" s="36" t="s">
        <v>40</v>
      </c>
      <c r="C276" s="8">
        <f>IF(B276="North",1,0)</f>
        <v>0</v>
      </c>
      <c r="D276" s="8">
        <f>IF(B276="South",1,0)</f>
        <v>0</v>
      </c>
      <c r="E276" s="8">
        <f>IF(B276="East",1,0)</f>
        <v>0</v>
      </c>
      <c r="F276" s="30">
        <v>58749.63</v>
      </c>
      <c r="G276" s="30">
        <v>8252</v>
      </c>
      <c r="H276" s="30">
        <v>85.2</v>
      </c>
      <c r="I276" s="30">
        <v>680840.36</v>
      </c>
      <c r="J276" s="31">
        <f>167465.0014 -(64890.80823*C276)-(88660.97356*D276)-(93638.37558*E276)+(1.166639942*F276)+(33.97310595*G276)+(2561.266053*H276)</f>
        <v>734570.60435072146</v>
      </c>
      <c r="K276" s="32">
        <f>I276-J276</f>
        <v>-53730.244350721478</v>
      </c>
    </row>
    <row r="277" spans="1:11">
      <c r="A277" s="36" t="s">
        <v>70</v>
      </c>
      <c r="C277" s="8">
        <f>IF(B277="North",1,0)</f>
        <v>0</v>
      </c>
      <c r="D277" s="8">
        <f>IF(B277="South",1,0)</f>
        <v>0</v>
      </c>
      <c r="E277" s="8">
        <f>IF(B277="East",1,0)</f>
        <v>0</v>
      </c>
      <c r="F277" s="30">
        <v>81796.740000000005</v>
      </c>
      <c r="G277" s="30">
        <v>6177</v>
      </c>
      <c r="H277" s="30">
        <v>87.9</v>
      </c>
      <c r="I277" s="30">
        <v>643428.85</v>
      </c>
      <c r="J277" s="31">
        <f>167465.0014 -(64890.80823*C277)-(88660.97356*D277)-(93638.37558*E277)+(1.166639942*F277)+(33.97310595*G277)+(2561.266053*H277)</f>
        <v>697879.5069212392</v>
      </c>
      <c r="K277" s="32">
        <f>I277-J277</f>
        <v>-54450.656921239221</v>
      </c>
    </row>
    <row r="278" spans="1:11">
      <c r="A278" s="36" t="s">
        <v>69</v>
      </c>
      <c r="C278" s="8">
        <f>IF(B278="North",1,0)</f>
        <v>0</v>
      </c>
      <c r="D278" s="8">
        <f>IF(B278="South",1,0)</f>
        <v>0</v>
      </c>
      <c r="E278" s="8">
        <f>IF(B278="East",1,0)</f>
        <v>0</v>
      </c>
      <c r="F278" s="30">
        <v>54966.18</v>
      </c>
      <c r="G278" s="30">
        <v>4423</v>
      </c>
      <c r="H278" s="30">
        <v>88.7</v>
      </c>
      <c r="I278" s="30">
        <v>554012.06999999995</v>
      </c>
      <c r="J278" s="31">
        <f>167465.0014 -(64890.80823*C278)-(88660.97356*D278)-(93638.37558*E278)+(1.166639942*F278)+(33.97310595*G278)+(2561.266053*H278)</f>
        <v>609038.08896511164</v>
      </c>
      <c r="K278" s="32">
        <f>I278-J278</f>
        <v>-55026.018965111696</v>
      </c>
    </row>
    <row r="279" spans="1:11">
      <c r="A279" s="36" t="s">
        <v>17</v>
      </c>
      <c r="C279" s="8">
        <f>IF(B279="North",1,0)</f>
        <v>0</v>
      </c>
      <c r="D279" s="8">
        <f>IF(B279="South",1,0)</f>
        <v>0</v>
      </c>
      <c r="E279" s="8">
        <f>IF(B279="East",1,0)</f>
        <v>0</v>
      </c>
      <c r="F279" s="30">
        <v>48412.639999999999</v>
      </c>
      <c r="G279" s="30">
        <v>9545</v>
      </c>
      <c r="H279" s="30">
        <v>97.6</v>
      </c>
      <c r="I279" s="30">
        <v>741341.44</v>
      </c>
      <c r="J279" s="31">
        <f>167465.0014 -(64890.80823*C279)-(88660.97356*D279)-(93638.37558*E279)+(1.166639942*F279)+(33.97310595*G279)+(2561.266053*H279)</f>
        <v>798197.98398721684</v>
      </c>
      <c r="K279" s="32">
        <f>I279-J279</f>
        <v>-56856.543987216894</v>
      </c>
    </row>
    <row r="280" spans="1:11">
      <c r="A280" s="36" t="s">
        <v>98</v>
      </c>
      <c r="C280" s="8">
        <f>IF(B280="North",1,0)</f>
        <v>0</v>
      </c>
      <c r="D280" s="8">
        <f>IF(B280="South",1,0)</f>
        <v>0</v>
      </c>
      <c r="E280" s="8">
        <f>IF(B280="East",1,0)</f>
        <v>0</v>
      </c>
      <c r="F280" s="30">
        <v>60684.05</v>
      </c>
      <c r="G280" s="30">
        <v>6399</v>
      </c>
      <c r="H280" s="30">
        <v>99</v>
      </c>
      <c r="I280" s="30">
        <v>651164.18000000005</v>
      </c>
      <c r="J280" s="31">
        <f>167465.0014 -(64890.80823*C280)-(88660.97356*D280)-(93638.37558*E280)+(1.166639942*F280)+(33.97310595*G280)+(2561.266053*H280)</f>
        <v>709220.68219337508</v>
      </c>
      <c r="K280" s="32">
        <f>I280-J280</f>
        <v>-58056.502193375025</v>
      </c>
    </row>
    <row r="281" spans="1:11">
      <c r="A281" s="36" t="s">
        <v>79</v>
      </c>
      <c r="C281" s="8">
        <f>IF(B281="North",1,0)</f>
        <v>0</v>
      </c>
      <c r="D281" s="8">
        <f>IF(B281="South",1,0)</f>
        <v>0</v>
      </c>
      <c r="E281" s="8">
        <f>IF(B281="East",1,0)</f>
        <v>0</v>
      </c>
      <c r="F281" s="30">
        <v>37324.230000000003</v>
      </c>
      <c r="G281" s="30">
        <v>5957</v>
      </c>
      <c r="H281" s="30">
        <v>85.9</v>
      </c>
      <c r="I281" s="30">
        <v>570963.31000000006</v>
      </c>
      <c r="J281" s="31">
        <f>167465.0014 -(64890.80823*C281)-(88660.97356*D281)-(93638.37558*E281)+(1.166639942*F281)+(33.97310595*G281)+(2561.266053*H281)</f>
        <v>633399.48501924472</v>
      </c>
      <c r="K281" s="32">
        <f>I281-J281</f>
        <v>-62436.175019244663</v>
      </c>
    </row>
    <row r="282" spans="1:11">
      <c r="A282" s="36" t="s">
        <v>52</v>
      </c>
      <c r="C282" s="8">
        <f>IF(B282="North",1,0)</f>
        <v>0</v>
      </c>
      <c r="D282" s="8">
        <f>IF(B282="South",1,0)</f>
        <v>0</v>
      </c>
      <c r="E282" s="8">
        <f>IF(B282="East",1,0)</f>
        <v>0</v>
      </c>
      <c r="F282" s="30">
        <v>19063.48</v>
      </c>
      <c r="G282" s="30">
        <v>1906</v>
      </c>
      <c r="H282" s="30">
        <v>97.8</v>
      </c>
      <c r="I282" s="30">
        <v>441275.42</v>
      </c>
      <c r="J282" s="31">
        <f>167465.0014 -(64890.80823*C282)-(88660.97356*D282)-(93638.37558*E282)+(1.166639942*F282)+(33.97310595*G282)+(2561.266053*H282)</f>
        <v>504949.77852561814</v>
      </c>
      <c r="K282" s="32">
        <f>I282-J282</f>
        <v>-63674.358525618154</v>
      </c>
    </row>
    <row r="283" spans="1:11">
      <c r="A283" s="36" t="s">
        <v>22</v>
      </c>
      <c r="C283" s="8">
        <f>IF(B283="North",1,0)</f>
        <v>0</v>
      </c>
      <c r="D283" s="8">
        <f>IF(B283="South",1,0)</f>
        <v>0</v>
      </c>
      <c r="E283" s="8">
        <f>IF(B283="East",1,0)</f>
        <v>0</v>
      </c>
      <c r="F283" s="30">
        <v>55716.82</v>
      </c>
      <c r="G283" s="30">
        <v>10054</v>
      </c>
      <c r="H283" s="30">
        <v>84.9</v>
      </c>
      <c r="I283" s="30">
        <v>726606.28</v>
      </c>
      <c r="J283" s="31">
        <f>167465.0014 -(64890.80823*C283)-(88660.97356*D283)-(93638.37558*E283)+(1.166639942*F283)+(33.97310595*G283)+(2561.266053*H283)</f>
        <v>791483.56417422439</v>
      </c>
      <c r="K283" s="32">
        <f>I283-J283</f>
        <v>-64877.284174224362</v>
      </c>
    </row>
    <row r="284" spans="1:11">
      <c r="A284" s="36" t="s">
        <v>101</v>
      </c>
      <c r="C284" s="8">
        <f>IF(B284="North",1,0)</f>
        <v>0</v>
      </c>
      <c r="D284" s="8">
        <f>IF(B284="South",1,0)</f>
        <v>0</v>
      </c>
      <c r="E284" s="8">
        <f>IF(B284="East",1,0)</f>
        <v>0</v>
      </c>
      <c r="F284" s="30">
        <v>76614.320000000007</v>
      </c>
      <c r="G284" s="30">
        <v>5639</v>
      </c>
      <c r="H284" s="30">
        <v>92.9</v>
      </c>
      <c r="I284" s="30">
        <v>620264.19999999995</v>
      </c>
      <c r="J284" s="31">
        <f>167465.0014 -(64890.80823*C284)-(88660.97356*D284)-(93638.37558*E284)+(1.166639942*F284)+(33.97310595*G284)+(2561.266053*H284)</f>
        <v>686362.28801691951</v>
      </c>
      <c r="K284" s="32">
        <f>I284-J284</f>
        <v>-66098.088016919559</v>
      </c>
    </row>
    <row r="285" spans="1:11">
      <c r="A285" s="36" t="s">
        <v>81</v>
      </c>
      <c r="C285" s="8">
        <f>IF(B285="North",1,0)</f>
        <v>0</v>
      </c>
      <c r="D285" s="8">
        <f>IF(B285="South",1,0)</f>
        <v>0</v>
      </c>
      <c r="E285" s="8">
        <f>IF(B285="East",1,0)</f>
        <v>0</v>
      </c>
      <c r="F285" s="30">
        <v>46495.4</v>
      </c>
      <c r="G285" s="30">
        <v>9908</v>
      </c>
      <c r="H285" s="30">
        <v>89.4</v>
      </c>
      <c r="I285" s="30">
        <v>721079.35</v>
      </c>
      <c r="J285" s="31">
        <f>167465.0014 -(64890.80823*C285)-(88660.97356*D285)-(93638.37558*E285)+(1.166639942*F285)+(33.97310595*G285)+(2561.266053*H285)</f>
        <v>787291.11105006677</v>
      </c>
      <c r="K285" s="32">
        <f>I285-J285</f>
        <v>-66211.761050066794</v>
      </c>
    </row>
    <row r="286" spans="1:11">
      <c r="A286" s="36" t="s">
        <v>73</v>
      </c>
      <c r="C286" s="8">
        <f>IF(B286="North",1,0)</f>
        <v>0</v>
      </c>
      <c r="D286" s="8">
        <f>IF(B286="South",1,0)</f>
        <v>0</v>
      </c>
      <c r="E286" s="8">
        <f>IF(B286="East",1,0)</f>
        <v>0</v>
      </c>
      <c r="F286" s="30">
        <v>37983.35</v>
      </c>
      <c r="G286" s="30">
        <v>9283</v>
      </c>
      <c r="H286" s="30">
        <v>83.2</v>
      </c>
      <c r="I286" s="30">
        <v>671868.59</v>
      </c>
      <c r="J286" s="31">
        <f>167465.0014 -(64890.80823*C286)-(88660.97356*D286)-(93638.37558*E286)+(1.166639942*F286)+(33.97310595*G286)+(2561.266053*H286)</f>
        <v>740247.57278441568</v>
      </c>
      <c r="K286" s="32">
        <f>I286-J286</f>
        <v>-68378.982784415712</v>
      </c>
    </row>
    <row r="287" spans="1:11">
      <c r="A287" s="36" t="s">
        <v>54</v>
      </c>
      <c r="C287" s="8">
        <f>IF(B287="North",1,0)</f>
        <v>0</v>
      </c>
      <c r="D287" s="8">
        <f>IF(B287="South",1,0)</f>
        <v>0</v>
      </c>
      <c r="E287" s="8">
        <f>IF(B287="East",1,0)</f>
        <v>0</v>
      </c>
      <c r="F287" s="30">
        <v>50735.63</v>
      </c>
      <c r="G287" s="30">
        <v>9619</v>
      </c>
      <c r="H287" s="30">
        <v>93.8</v>
      </c>
      <c r="I287" s="30">
        <v>725235.28</v>
      </c>
      <c r="J287" s="31">
        <f>167465.0014 -(64890.80823*C287)-(88660.97356*D287)-(93638.37558*E287)+(1.166639942*F287)+(33.97310595*G287)+(2561.266053*H287)</f>
        <v>793689.27574498334</v>
      </c>
      <c r="K287" s="32">
        <f>I287-J287</f>
        <v>-68453.995744983316</v>
      </c>
    </row>
    <row r="288" spans="1:11">
      <c r="A288" s="36" t="s">
        <v>51</v>
      </c>
      <c r="C288" s="8">
        <f>IF(B288="North",1,0)</f>
        <v>0</v>
      </c>
      <c r="D288" s="8">
        <f>IF(B288="South",1,0)</f>
        <v>0</v>
      </c>
      <c r="E288" s="8">
        <f>IF(B288="East",1,0)</f>
        <v>0</v>
      </c>
      <c r="F288" s="30">
        <v>42415.47</v>
      </c>
      <c r="G288" s="30">
        <v>8512</v>
      </c>
      <c r="H288" s="30">
        <v>96.8</v>
      </c>
      <c r="I288" s="30">
        <v>684217.32</v>
      </c>
      <c r="J288" s="31">
        <f>167465.0014 -(64890.80823*C288)-(88660.97356*D288)-(93638.37558*E288)+(1.166639942*F288)+(33.97310595*G288)+(2561.266053*H288)</f>
        <v>754058.21463750268</v>
      </c>
      <c r="K288" s="32">
        <f>I288-J288</f>
        <v>-69840.89463750273</v>
      </c>
    </row>
    <row r="289" spans="1:11">
      <c r="A289" s="36" t="s">
        <v>96</v>
      </c>
      <c r="C289" s="8">
        <f>IF(B289="North",1,0)</f>
        <v>0</v>
      </c>
      <c r="D289" s="8">
        <f>IF(B289="South",1,0)</f>
        <v>0</v>
      </c>
      <c r="E289" s="8">
        <f>IF(B289="East",1,0)</f>
        <v>0</v>
      </c>
      <c r="F289" s="30">
        <v>24362.98</v>
      </c>
      <c r="G289" s="30">
        <v>1462</v>
      </c>
      <c r="H289" s="30">
        <v>89.3</v>
      </c>
      <c r="I289" s="30">
        <v>401582.58</v>
      </c>
      <c r="J289" s="31">
        <f>167465.0014 -(64890.80823*C289)-(88660.97356*D289)-(93638.37558*E289)+(1.166639942*F289)+(33.97310595*G289)+(2561.266053*H289)</f>
        <v>474277.56640594715</v>
      </c>
      <c r="K289" s="32">
        <f>I289-J289</f>
        <v>-72694.986405947129</v>
      </c>
    </row>
    <row r="290" spans="1:11">
      <c r="A290" s="36" t="s">
        <v>40</v>
      </c>
      <c r="C290" s="8">
        <f>IF(B290="North",1,0)</f>
        <v>0</v>
      </c>
      <c r="D290" s="8">
        <f>IF(B290="South",1,0)</f>
        <v>0</v>
      </c>
      <c r="E290" s="8">
        <f>IF(B290="East",1,0)</f>
        <v>0</v>
      </c>
      <c r="F290" s="30">
        <v>53762.92</v>
      </c>
      <c r="G290" s="30">
        <v>6821</v>
      </c>
      <c r="H290" s="30">
        <v>94.6</v>
      </c>
      <c r="I290" s="30">
        <v>630829.93999999994</v>
      </c>
      <c r="J290" s="31">
        <f>167465.0014 -(64890.80823*C290)-(88660.97356*D290)-(93638.37558*E290)+(1.166639942*F290)+(33.97310595*G290)+(2561.266053*H290)</f>
        <v>704213.29556930054</v>
      </c>
      <c r="K290" s="32">
        <f>I290-J290</f>
        <v>-73383.355569300591</v>
      </c>
    </row>
    <row r="291" spans="1:11">
      <c r="A291" s="36" t="s">
        <v>73</v>
      </c>
      <c r="C291" s="8">
        <f>IF(B291="North",1,0)</f>
        <v>0</v>
      </c>
      <c r="D291" s="8">
        <f>IF(B291="South",1,0)</f>
        <v>0</v>
      </c>
      <c r="E291" s="8">
        <f>IF(B291="East",1,0)</f>
        <v>0</v>
      </c>
      <c r="F291" s="30">
        <v>56413.83</v>
      </c>
      <c r="G291" s="30">
        <v>8303</v>
      </c>
      <c r="H291" s="30">
        <v>93.6</v>
      </c>
      <c r="I291" s="30">
        <v>675917.63</v>
      </c>
      <c r="J291" s="31">
        <f>167465.0014 -(64890.80823*C291)-(88660.97356*D291)-(93638.37558*E291)+(1.166639942*F291)+(33.97310595*G291)+(2561.266053*H291)</f>
        <v>755092.83002284786</v>
      </c>
      <c r="K291" s="32">
        <f>I291-J291</f>
        <v>-79175.200022847857</v>
      </c>
    </row>
    <row r="292" spans="1:11">
      <c r="A292" s="36" t="s">
        <v>89</v>
      </c>
      <c r="C292" s="8">
        <f>IF(B292="North",1,0)</f>
        <v>0</v>
      </c>
      <c r="D292" s="8">
        <f>IF(B292="South",1,0)</f>
        <v>0</v>
      </c>
      <c r="E292" s="8">
        <f>IF(B292="East",1,0)</f>
        <v>0</v>
      </c>
      <c r="F292" s="30">
        <v>48752.92</v>
      </c>
      <c r="G292" s="30">
        <v>8052</v>
      </c>
      <c r="H292" s="30">
        <v>94.9</v>
      </c>
      <c r="I292" s="30">
        <v>660633.99</v>
      </c>
      <c r="J292" s="31">
        <f>167465.0014 -(64890.80823*C292)-(88660.97356*D292)-(93638.37558*E292)+(1.166639942*F292)+(33.97310595*G292)+(2561.266053*H292)</f>
        <v>740957.70270023064</v>
      </c>
      <c r="K292" s="32">
        <f>I292-J292</f>
        <v>-80323.712700230652</v>
      </c>
    </row>
    <row r="293" spans="1:11">
      <c r="A293" s="36" t="s">
        <v>91</v>
      </c>
      <c r="C293" s="8">
        <f>IF(B293="North",1,0)</f>
        <v>0</v>
      </c>
      <c r="D293" s="8">
        <f>IF(B293="South",1,0)</f>
        <v>0</v>
      </c>
      <c r="E293" s="8">
        <f>IF(B293="East",1,0)</f>
        <v>0</v>
      </c>
      <c r="F293" s="30">
        <v>61784.11</v>
      </c>
      <c r="G293" s="30">
        <v>8564</v>
      </c>
      <c r="H293" s="30">
        <v>87.4</v>
      </c>
      <c r="I293" s="30">
        <v>673076.34</v>
      </c>
      <c r="J293" s="31">
        <f>167465.0014 -(64890.80823*C293)-(88660.97356*D293)-(93638.37558*E293)+(1.166639942*F293)+(33.97310595*G293)+(2561.266053*H293)</f>
        <v>754345.14429492154</v>
      </c>
      <c r="K293" s="32">
        <f>I293-J293</f>
        <v>-81268.804294921574</v>
      </c>
    </row>
    <row r="294" spans="1:11">
      <c r="A294" s="36" t="s">
        <v>89</v>
      </c>
      <c r="C294" s="8">
        <f>IF(B294="North",1,0)</f>
        <v>0</v>
      </c>
      <c r="D294" s="8">
        <f>IF(B294="South",1,0)</f>
        <v>0</v>
      </c>
      <c r="E294" s="8">
        <f>IF(B294="East",1,0)</f>
        <v>0</v>
      </c>
      <c r="F294" s="30">
        <v>29344.93</v>
      </c>
      <c r="G294" s="30">
        <v>7446</v>
      </c>
      <c r="H294" s="30">
        <v>86.2</v>
      </c>
      <c r="I294" s="30">
        <v>593343</v>
      </c>
      <c r="J294" s="31">
        <f>167465.0014 -(64890.80823*C294)-(88660.97356*D294)-(93638.37558*E294)+(1.166639942*F294)+(33.97310595*G294)+(2561.266053*H294)</f>
        <v>675444.84950549412</v>
      </c>
      <c r="K294" s="32">
        <f>I294-J294</f>
        <v>-82101.849505494116</v>
      </c>
    </row>
    <row r="295" spans="1:11">
      <c r="A295" s="36" t="s">
        <v>29</v>
      </c>
      <c r="C295" s="8">
        <f>IF(B295="North",1,0)</f>
        <v>0</v>
      </c>
      <c r="D295" s="8">
        <f>IF(B295="South",1,0)</f>
        <v>0</v>
      </c>
      <c r="E295" s="8">
        <f>IF(B295="East",1,0)</f>
        <v>0</v>
      </c>
      <c r="F295" s="30">
        <v>69816.350000000006</v>
      </c>
      <c r="G295" s="30">
        <v>971</v>
      </c>
      <c r="H295" s="30">
        <v>89.9</v>
      </c>
      <c r="I295" s="30">
        <v>427917.38</v>
      </c>
      <c r="J295" s="31">
        <f>167465.0014 -(64890.80823*C295)-(88660.97356*D295)-(93638.37558*E295)+(1.166639942*F295)+(33.97310595*G295)+(2561.266053*H295)</f>
        <v>512161.24795680173</v>
      </c>
      <c r="K295" s="32">
        <f>I295-J295</f>
        <v>-84243.867956801725</v>
      </c>
    </row>
    <row r="296" spans="1:11">
      <c r="A296" s="36" t="s">
        <v>64</v>
      </c>
      <c r="C296" s="8">
        <f>IF(B296="North",1,0)</f>
        <v>0</v>
      </c>
      <c r="D296" s="8">
        <f>IF(B296="South",1,0)</f>
        <v>0</v>
      </c>
      <c r="E296" s="8">
        <f>IF(B296="East",1,0)</f>
        <v>0</v>
      </c>
      <c r="F296" s="30">
        <v>32834.480000000003</v>
      </c>
      <c r="G296" s="30">
        <v>7576</v>
      </c>
      <c r="H296" s="30">
        <v>84.1</v>
      </c>
      <c r="I296" s="30">
        <v>593637.14</v>
      </c>
      <c r="J296" s="31">
        <f>167465.0014 -(64890.80823*C296)-(88660.97356*D296)-(93638.37558*E296)+(1.166639942*F296)+(33.97310595*G296)+(2561.266053*H296)</f>
        <v>678553.74297730008</v>
      </c>
      <c r="K296" s="32">
        <f>I296-J296</f>
        <v>-84916.602977300063</v>
      </c>
    </row>
    <row r="297" spans="1:11">
      <c r="A297" s="36" t="s">
        <v>74</v>
      </c>
      <c r="C297" s="8">
        <f>IF(B297="North",1,0)</f>
        <v>0</v>
      </c>
      <c r="D297" s="8">
        <f>IF(B297="South",1,0)</f>
        <v>0</v>
      </c>
      <c r="E297" s="8">
        <f>IF(B297="East",1,0)</f>
        <v>0</v>
      </c>
      <c r="F297" s="30">
        <v>62949.7</v>
      </c>
      <c r="G297" s="30">
        <v>9458</v>
      </c>
      <c r="H297" s="30">
        <v>84.9</v>
      </c>
      <c r="I297" s="30">
        <v>691288.19</v>
      </c>
      <c r="J297" s="31">
        <f>167465.0014 -(64890.80823*C297)-(88660.97356*D297)-(93638.37558*E297)+(1.166639942*F297)+(33.97310595*G297)+(2561.266053*H297)</f>
        <v>779673.75973171741</v>
      </c>
      <c r="K297" s="32">
        <f>I297-J297</f>
        <v>-88385.569731717464</v>
      </c>
    </row>
    <row r="298" spans="1:11">
      <c r="A298" s="36" t="s">
        <v>29</v>
      </c>
      <c r="C298" s="8">
        <f>IF(B298="North",1,0)</f>
        <v>0</v>
      </c>
      <c r="D298" s="8">
        <f>IF(B298="South",1,0)</f>
        <v>0</v>
      </c>
      <c r="E298" s="8">
        <f>IF(B298="East",1,0)</f>
        <v>0</v>
      </c>
      <c r="F298" s="30">
        <v>68600.62</v>
      </c>
      <c r="G298" s="30">
        <v>3988</v>
      </c>
      <c r="H298" s="30">
        <v>85</v>
      </c>
      <c r="I298" s="30">
        <v>511844.41</v>
      </c>
      <c r="J298" s="31">
        <f>167465.0014 -(64890.80823*C298)-(88660.97356*D298)-(93638.37558*E298)+(1.166639942*F298)+(33.97310595*G298)+(2561.266053*H298)</f>
        <v>600689.58577156404</v>
      </c>
      <c r="K298" s="32">
        <f>I298-J298</f>
        <v>-88845.175771564071</v>
      </c>
    </row>
    <row r="299" spans="1:11">
      <c r="A299" s="36" t="s">
        <v>26</v>
      </c>
      <c r="C299" s="8">
        <f>IF(B299="North",1,0)</f>
        <v>0</v>
      </c>
      <c r="D299" s="8">
        <f>IF(B299="South",1,0)</f>
        <v>0</v>
      </c>
      <c r="E299" s="8">
        <f>IF(B299="East",1,0)</f>
        <v>0</v>
      </c>
      <c r="F299" s="30">
        <v>172415.52</v>
      </c>
      <c r="G299" s="30">
        <v>8927</v>
      </c>
      <c r="H299" s="30">
        <v>86.2</v>
      </c>
      <c r="I299" s="30">
        <v>800451.94</v>
      </c>
      <c r="J299" s="31">
        <f>167465.0014 -(64890.80823*C299)-(88660.97356*D299)-(93638.37558*E299)+(1.166639942*F299)+(33.97310595*G299)+(2561.266053*H299)</f>
        <v>892670.88423694973</v>
      </c>
      <c r="K299" s="32">
        <f>I299-J299</f>
        <v>-92218.944236949785</v>
      </c>
    </row>
    <row r="300" spans="1:11">
      <c r="A300" s="36" t="s">
        <v>35</v>
      </c>
      <c r="C300" s="8">
        <f>IF(B300="North",1,0)</f>
        <v>0</v>
      </c>
      <c r="D300" s="8">
        <f>IF(B300="South",1,0)</f>
        <v>0</v>
      </c>
      <c r="E300" s="8">
        <f>IF(B300="East",1,0)</f>
        <v>0</v>
      </c>
      <c r="F300" s="30">
        <v>53015.46</v>
      </c>
      <c r="G300" s="30">
        <v>3279</v>
      </c>
      <c r="H300" s="30">
        <v>84.3</v>
      </c>
      <c r="I300" s="30">
        <v>463534.25</v>
      </c>
      <c r="J300" s="31">
        <f>167465.0014 -(64890.80823*C300)-(88660.97356*D300)-(93638.37558*E300)+(1.166639942*F300)+(33.97310595*G300)+(2561.266053*H300)</f>
        <v>556627.49725745327</v>
      </c>
      <c r="K300" s="32">
        <f>I300-J300</f>
        <v>-93093.247257453273</v>
      </c>
    </row>
    <row r="301" spans="1:11">
      <c r="A301" s="36" t="s">
        <v>25</v>
      </c>
      <c r="C301" s="8">
        <f>IF(B301="North",1,0)</f>
        <v>0</v>
      </c>
      <c r="D301" s="8">
        <f>IF(B301="South",1,0)</f>
        <v>0</v>
      </c>
      <c r="E301" s="8">
        <f>IF(B301="East",1,0)</f>
        <v>0</v>
      </c>
      <c r="F301" s="30">
        <v>30356.28</v>
      </c>
      <c r="G301" s="30">
        <v>2822</v>
      </c>
      <c r="H301" s="30">
        <v>84.8</v>
      </c>
      <c r="I301" s="30">
        <v>415721.82</v>
      </c>
      <c r="J301" s="31">
        <f>167465.0014 -(64890.80823*C301)-(88660.97356*D301)-(93638.37558*E301)+(1.166639942*F301)+(33.97310595*G301)+(2561.266053*H301)</f>
        <v>515947.3164238357</v>
      </c>
      <c r="K301" s="32">
        <f>I301-J301</f>
        <v>-100225.49642383569</v>
      </c>
    </row>
    <row r="302" spans="1:11">
      <c r="A302" s="36" t="s">
        <v>98</v>
      </c>
      <c r="C302" s="8">
        <f>IF(B302="North",1,0)</f>
        <v>0</v>
      </c>
      <c r="D302" s="8">
        <f>IF(B302="South",1,0)</f>
        <v>0</v>
      </c>
      <c r="E302" s="8">
        <f>IF(B302="East",1,0)</f>
        <v>0</v>
      </c>
      <c r="F302" s="30">
        <v>46146.239999999998</v>
      </c>
      <c r="G302" s="30">
        <v>5804</v>
      </c>
      <c r="H302" s="30">
        <v>86.9</v>
      </c>
      <c r="I302" s="30">
        <v>538376</v>
      </c>
      <c r="J302" s="31">
        <f>167465.0014 -(64890.80823*C302)-(88660.97356*D302)-(93638.37558*E302)+(1.166639942*F302)+(33.97310595*G302)+(2561.266053*H302)</f>
        <v>641054.97509661806</v>
      </c>
      <c r="K302" s="32">
        <f>I302-J302</f>
        <v>-102678.97509661806</v>
      </c>
    </row>
    <row r="303" spans="1:11">
      <c r="A303" s="36" t="s">
        <v>44</v>
      </c>
      <c r="C303" s="8">
        <f>IF(B303="North",1,0)</f>
        <v>0</v>
      </c>
      <c r="D303" s="8">
        <f>IF(B303="South",1,0)</f>
        <v>0</v>
      </c>
      <c r="E303" s="8">
        <f>IF(B303="East",1,0)</f>
        <v>0</v>
      </c>
      <c r="F303" s="30">
        <v>141540.29</v>
      </c>
      <c r="G303" s="30">
        <v>5400</v>
      </c>
      <c r="H303" s="30">
        <v>87</v>
      </c>
      <c r="I303" s="30">
        <v>627171.9</v>
      </c>
      <c r="J303" s="31">
        <f>167465.0014 -(64890.80823*C303)-(88660.97356*D303)-(93638.37558*E303)+(1.166639942*F303)+(33.97310595*G303)+(2561.266053*H303)</f>
        <v>738876.4758572632</v>
      </c>
      <c r="K303" s="32">
        <f>I303-J303</f>
        <v>-111704.57585726317</v>
      </c>
    </row>
    <row r="304" spans="1:11" ht="15">
      <c r="A304" s="36" t="s">
        <v>14</v>
      </c>
      <c r="B304" s="33" t="s">
        <v>124</v>
      </c>
      <c r="C304" s="8">
        <f>IF(B304="North",1,0)</f>
        <v>0</v>
      </c>
      <c r="D304" s="8">
        <f>IF(B304="South",1,0)</f>
        <v>0</v>
      </c>
      <c r="E304" s="8">
        <f>IF(B304="East",1,0)</f>
        <v>0</v>
      </c>
      <c r="F304" s="30">
        <v>56856.63</v>
      </c>
      <c r="G304" s="30">
        <v>9431</v>
      </c>
      <c r="H304" s="30">
        <v>86.9</v>
      </c>
      <c r="I304" s="30">
        <v>658920.30000000005</v>
      </c>
      <c r="J304" s="31">
        <f>167465.0014 -(64890.80823*C304)-(88660.97356*D304)-(93638.37558*E304)+(1.166639942*F304)+(33.97310595*G304)+(2561.266053*H304)</f>
        <v>776770.5991456653</v>
      </c>
      <c r="K304" s="32">
        <f>I304-J304</f>
        <v>-117850.29914566525</v>
      </c>
    </row>
    <row r="305" spans="1:11">
      <c r="A305" s="36" t="s">
        <v>30</v>
      </c>
      <c r="B305" s="34"/>
      <c r="C305" s="8">
        <f>IF(B305="North",1,0)</f>
        <v>0</v>
      </c>
      <c r="D305" s="8">
        <f>IF(B305="South",1,0)</f>
        <v>0</v>
      </c>
      <c r="E305" s="8">
        <f>IF(B305="East",1,0)</f>
        <v>0</v>
      </c>
      <c r="F305" s="30">
        <v>54597.83</v>
      </c>
      <c r="G305" s="30">
        <v>9429</v>
      </c>
      <c r="H305" s="30">
        <v>83.3</v>
      </c>
      <c r="I305" s="30">
        <v>641865.03</v>
      </c>
      <c r="J305" s="31">
        <f>167465.0014 -(64890.80823*C305)-(88660.97356*D305)-(93638.37558*E305)+(1.166639942*F305)+(33.97310595*G305)+(2561.266053*H305)</f>
        <v>764846.88884197583</v>
      </c>
      <c r="K305" s="32">
        <f>I305-J305</f>
        <v>-122981.8588419758</v>
      </c>
    </row>
    <row r="306" spans="1:11">
      <c r="A306" s="36" t="s">
        <v>33</v>
      </c>
      <c r="B306" s="34"/>
      <c r="C306" s="8">
        <f>IF(B306="North",1,0)</f>
        <v>0</v>
      </c>
      <c r="D306" s="8">
        <f>IF(B306="South",1,0)</f>
        <v>0</v>
      </c>
      <c r="E306" s="8">
        <f>IF(B306="East",1,0)</f>
        <v>0</v>
      </c>
      <c r="F306" s="30">
        <v>138855.51</v>
      </c>
      <c r="G306" s="30">
        <v>5145</v>
      </c>
      <c r="H306" s="30">
        <v>88.2</v>
      </c>
      <c r="I306" s="30">
        <v>595467.6</v>
      </c>
      <c r="J306" s="31">
        <f>167465.0014 -(64890.80823*C306)-(88660.97356*D306)-(93638.37558*E306)+(1.166639942*F306)+(33.97310595*G306)+(2561.266053*H306)</f>
        <v>730154.68152013049</v>
      </c>
      <c r="K306" s="32">
        <f>I306-J306</f>
        <v>-134687.08152013051</v>
      </c>
    </row>
    <row r="307" spans="1:11">
      <c r="A307" s="36" t="s">
        <v>38</v>
      </c>
      <c r="B307" s="34"/>
      <c r="C307" s="8">
        <f>IF(B307="North",1,0)</f>
        <v>0</v>
      </c>
      <c r="D307" s="8">
        <f>IF(B307="South",1,0)</f>
        <v>0</v>
      </c>
      <c r="E307" s="8">
        <f>IF(B307="East",1,0)</f>
        <v>0</v>
      </c>
      <c r="F307" s="30">
        <v>79346.100000000006</v>
      </c>
      <c r="G307" s="30">
        <v>9628</v>
      </c>
      <c r="H307" s="30">
        <v>99</v>
      </c>
      <c r="I307" s="30">
        <v>685379.08</v>
      </c>
      <c r="J307" s="31">
        <f>167465.0014 -(64890.80823*C307)-(88660.97356*D307)-(93638.37558*E307)+(1.166639942*F307)+(33.97310595*G307)+(2561.266053*H307)</f>
        <v>840691.73423552606</v>
      </c>
      <c r="K307" s="32">
        <f>I307-J307</f>
        <v>-155312.6542355261</v>
      </c>
    </row>
  </sheetData>
  <autoFilter ref="A1:K1" xr:uid="{624B4279-B453-4D23-85CA-B8C62C215148}">
    <sortState xmlns:xlrd2="http://schemas.microsoft.com/office/spreadsheetml/2017/richdata2" ref="A2:K307">
      <sortCondition descending="1" ref="K1"/>
    </sortState>
  </autoFilter>
  <mergeCells count="2">
    <mergeCell ref="O2:Q2"/>
    <mergeCell ref="O13:Q1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7C22-029C-4EB9-9FD8-A390FC137810}">
  <dimension ref="B3:G7"/>
  <sheetViews>
    <sheetView workbookViewId="0">
      <selection activeCell="E13" sqref="E13"/>
    </sheetView>
  </sheetViews>
  <sheetFormatPr defaultRowHeight="14.25"/>
  <cols>
    <col min="1" max="1" width="5.625" customWidth="1"/>
    <col min="2" max="7" width="15.625" style="41" customWidth="1"/>
  </cols>
  <sheetData>
    <row r="3" spans="2:7" ht="30">
      <c r="B3" s="43" t="s">
        <v>191</v>
      </c>
      <c r="C3" s="43" t="s">
        <v>192</v>
      </c>
      <c r="D3" s="43" t="s">
        <v>193</v>
      </c>
      <c r="E3" s="43" t="s">
        <v>194</v>
      </c>
      <c r="F3" s="43" t="s">
        <v>195</v>
      </c>
      <c r="G3" s="43" t="s">
        <v>196</v>
      </c>
    </row>
    <row r="4" spans="2:7" ht="42.75">
      <c r="B4" s="43" t="s">
        <v>197</v>
      </c>
      <c r="C4" s="42" t="s">
        <v>198</v>
      </c>
      <c r="D4" s="42">
        <v>0.16719999999999999</v>
      </c>
      <c r="E4" s="42" t="s">
        <v>198</v>
      </c>
      <c r="F4" s="42" t="s">
        <v>199</v>
      </c>
      <c r="G4" s="42" t="s">
        <v>200</v>
      </c>
    </row>
    <row r="5" spans="2:7" ht="30">
      <c r="B5" s="43" t="s">
        <v>201</v>
      </c>
      <c r="C5" s="42" t="s">
        <v>202</v>
      </c>
      <c r="D5" s="42">
        <v>0.73629999999999995</v>
      </c>
      <c r="E5" s="42" t="s">
        <v>202</v>
      </c>
      <c r="F5" s="42" t="s">
        <v>203</v>
      </c>
      <c r="G5" s="42" t="s">
        <v>200</v>
      </c>
    </row>
    <row r="6" spans="2:7" ht="42.75">
      <c r="B6" s="43" t="s">
        <v>204</v>
      </c>
      <c r="C6" s="42" t="s">
        <v>205</v>
      </c>
      <c r="D6" s="42">
        <v>1.3100000000000001E-2</v>
      </c>
      <c r="E6" s="42" t="s">
        <v>205</v>
      </c>
      <c r="F6" s="42" t="s">
        <v>206</v>
      </c>
      <c r="G6" s="42" t="s">
        <v>207</v>
      </c>
    </row>
    <row r="7" spans="2:7" ht="57">
      <c r="B7" s="43" t="s">
        <v>208</v>
      </c>
      <c r="C7" s="42" t="s">
        <v>209</v>
      </c>
      <c r="D7" s="42">
        <v>0.80740000000000001</v>
      </c>
      <c r="E7" s="42" t="s">
        <v>210</v>
      </c>
      <c r="F7" s="42" t="s">
        <v>211</v>
      </c>
      <c r="G7" s="42" t="s">
        <v>212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E5" sqref="E5"/>
    </sheetView>
  </sheetViews>
  <sheetFormatPr defaultRowHeight="14.25"/>
  <cols>
    <col min="1" max="1" width="28" style="4" customWidth="1"/>
    <col min="2" max="2" width="61.625" style="3" customWidth="1"/>
  </cols>
  <sheetData>
    <row r="1" spans="1:2" ht="15">
      <c r="A1" s="5" t="s">
        <v>102</v>
      </c>
      <c r="B1" s="6" t="s">
        <v>103</v>
      </c>
    </row>
    <row r="2" spans="1:2">
      <c r="A2" s="7" t="s">
        <v>0</v>
      </c>
      <c r="B2" s="8" t="s">
        <v>104</v>
      </c>
    </row>
    <row r="3" spans="1:2">
      <c r="A3" s="7" t="s">
        <v>1</v>
      </c>
      <c r="B3" s="8" t="s">
        <v>105</v>
      </c>
    </row>
    <row r="4" spans="1:2">
      <c r="A4" s="7" t="s">
        <v>2</v>
      </c>
      <c r="B4" s="8" t="s">
        <v>106</v>
      </c>
    </row>
    <row r="5" spans="1:2">
      <c r="A5" s="7" t="s">
        <v>3</v>
      </c>
      <c r="B5" s="8" t="s">
        <v>107</v>
      </c>
    </row>
    <row r="6" spans="1:2">
      <c r="A6" s="7" t="s">
        <v>4</v>
      </c>
      <c r="B6" s="8" t="s">
        <v>108</v>
      </c>
    </row>
    <row r="7" spans="1:2">
      <c r="A7" s="7" t="s">
        <v>5</v>
      </c>
      <c r="B7" s="8" t="s">
        <v>109</v>
      </c>
    </row>
    <row r="8" spans="1:2">
      <c r="A8" s="7" t="s">
        <v>6</v>
      </c>
      <c r="B8" s="8" t="s">
        <v>110</v>
      </c>
    </row>
    <row r="9" spans="1:2">
      <c r="A9" s="7" t="s">
        <v>7</v>
      </c>
      <c r="B9" s="8" t="s">
        <v>111</v>
      </c>
    </row>
    <row r="10" spans="1:2">
      <c r="A10" s="7" t="s">
        <v>8</v>
      </c>
      <c r="B10" s="8" t="s">
        <v>112</v>
      </c>
    </row>
    <row r="11" spans="1:2">
      <c r="A11" s="7" t="s">
        <v>9</v>
      </c>
      <c r="B11" s="8" t="s">
        <v>113</v>
      </c>
    </row>
    <row r="12" spans="1:2">
      <c r="A12" s="7" t="s">
        <v>10</v>
      </c>
      <c r="B12" s="8" t="s">
        <v>114</v>
      </c>
    </row>
    <row r="13" spans="1:2">
      <c r="A13" s="7" t="s">
        <v>11</v>
      </c>
      <c r="B13" s="8" t="s">
        <v>115</v>
      </c>
    </row>
    <row r="14" spans="1:2">
      <c r="A14" s="7" t="s">
        <v>12</v>
      </c>
      <c r="B14" s="8" t="s">
        <v>116</v>
      </c>
    </row>
    <row r="15" spans="1:2">
      <c r="A15" s="7" t="s">
        <v>13</v>
      </c>
      <c r="B15" s="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store_performance</vt:lpstr>
      <vt:lpstr>Cleaned Data Sheet</vt:lpstr>
      <vt:lpstr>Dummy variable creation sheet</vt:lpstr>
      <vt:lpstr>Simple regression outputs</vt:lpstr>
      <vt:lpstr>Multiple regression outputs</vt:lpstr>
      <vt:lpstr>Prediction and residual sheet</vt:lpstr>
      <vt:lpstr>Model comparison sheet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mankar</cp:lastModifiedBy>
  <dcterms:modified xsi:type="dcterms:W3CDTF">2026-06-27T11:32:04Z</dcterms:modified>
</cp:coreProperties>
</file>